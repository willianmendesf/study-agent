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9E1E5B287F3500/GTEC/AULAS IPBF - a revisar/00 Aulas 2024 - 2026/"/>
    </mc:Choice>
  </mc:AlternateContent>
  <xr:revisionPtr revIDLastSave="0" documentId="8_{35B5CB37-65CF-4B16-8F55-2376B7CA6339}" xr6:coauthVersionLast="47" xr6:coauthVersionMax="47" xr10:uidLastSave="{00000000-0000-0000-0000-000000000000}"/>
  <bookViews>
    <workbookView xWindow="1520" yWindow="1520" windowWidth="14400" windowHeight="7460" firstSheet="5" activeTab="5" xr2:uid="{76135D49-80E7-4715-BCBE-5EC4B00D24D9}"/>
  </bookViews>
  <sheets>
    <sheet name="2021-2023" sheetId="2" r:id="rId1"/>
    <sheet name="2024 - 2026" sheetId="1" state="hidden" r:id="rId2"/>
    <sheet name="2024 - 2026 (rev)" sheetId="3" state="hidden" r:id="rId3"/>
    <sheet name="2024 - 2026 (ATUAL)" sheetId="4" state="hidden" r:id="rId4"/>
    <sheet name="2024 - 2026 (ATUAL) (2)" sheetId="5" state="hidden" r:id="rId5"/>
    <sheet name="2024 - 2026 (considerar esse)" sheetId="6" r:id="rId6"/>
    <sheet name="Proposta 2026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9" i="6" l="1"/>
  <c r="E150" i="6"/>
  <c r="D140" i="6"/>
  <c r="D139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E118" i="6"/>
  <c r="E119" i="6"/>
  <c r="E120" i="6"/>
  <c r="E122" i="6"/>
  <c r="E123" i="6"/>
  <c r="E124" i="6"/>
  <c r="E125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41" i="6"/>
  <c r="E142" i="6"/>
  <c r="E143" i="6"/>
  <c r="E144" i="6"/>
  <c r="E145" i="6"/>
  <c r="E146" i="6"/>
  <c r="E147" i="6"/>
  <c r="E148" i="6"/>
  <c r="E149" i="6"/>
  <c r="E151" i="6"/>
  <c r="E152" i="6"/>
  <c r="E153" i="6"/>
  <c r="E154" i="6"/>
  <c r="D154" i="6"/>
  <c r="D153" i="6"/>
  <c r="D152" i="6"/>
  <c r="D151" i="6"/>
  <c r="D149" i="6"/>
  <c r="D148" i="6"/>
  <c r="D147" i="6"/>
  <c r="D146" i="6"/>
  <c r="D145" i="6"/>
  <c r="D144" i="6"/>
  <c r="D143" i="6"/>
  <c r="D142" i="6"/>
  <c r="D141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5" i="6"/>
  <c r="D124" i="6"/>
  <c r="D123" i="6"/>
  <c r="D122" i="6"/>
  <c r="D121" i="6"/>
  <c r="D120" i="6"/>
  <c r="E117" i="6"/>
  <c r="D117" i="6"/>
  <c r="D114" i="6"/>
  <c r="E111" i="6"/>
  <c r="E113" i="6"/>
  <c r="D111" i="6"/>
  <c r="D113" i="6"/>
  <c r="E115" i="6"/>
  <c r="E116" i="6"/>
  <c r="E114" i="6"/>
  <c r="E109" i="6"/>
  <c r="E108" i="6"/>
  <c r="E106" i="6"/>
  <c r="E107" i="6"/>
  <c r="D109" i="6"/>
  <c r="D110" i="6"/>
  <c r="D108" i="6"/>
  <c r="D106" i="6"/>
  <c r="D107" i="6"/>
  <c r="D105" i="6"/>
  <c r="B5" i="8"/>
  <c r="B6" i="8"/>
  <c r="B7" i="8"/>
  <c r="B8" i="8"/>
  <c r="B9" i="8"/>
  <c r="B10" i="8"/>
  <c r="B11" i="8"/>
  <c r="B12" i="8"/>
  <c r="B13" i="8"/>
  <c r="B14" i="8"/>
  <c r="B15" i="8"/>
  <c r="B16" i="8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06" i="6"/>
  <c r="D150" i="6"/>
  <c r="D119" i="6"/>
  <c r="D118" i="6"/>
  <c r="D116" i="6"/>
  <c r="D115" i="6"/>
  <c r="C106" i="6"/>
  <c r="E102" i="6"/>
  <c r="D102" i="6"/>
  <c r="E101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H78" i="6"/>
  <c r="D78" i="6"/>
  <c r="C78" i="6"/>
  <c r="H79" i="6"/>
  <c r="H77" i="6"/>
  <c r="D77" i="6"/>
  <c r="H76" i="6"/>
  <c r="D76" i="6"/>
  <c r="H75" i="6"/>
  <c r="D75" i="6"/>
  <c r="H74" i="6"/>
  <c r="D74" i="6"/>
  <c r="H73" i="6"/>
  <c r="D73" i="6"/>
  <c r="H72" i="6"/>
  <c r="D72" i="6"/>
  <c r="H71" i="6"/>
  <c r="D71" i="6"/>
  <c r="H70" i="6"/>
  <c r="D70" i="6"/>
  <c r="H69" i="6"/>
  <c r="D69" i="6"/>
  <c r="H68" i="6"/>
  <c r="D68" i="6"/>
  <c r="H67" i="6"/>
  <c r="D67" i="6"/>
  <c r="H66" i="6"/>
  <c r="D66" i="6"/>
  <c r="H65" i="6"/>
  <c r="D65" i="6"/>
  <c r="H64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D64" i="6"/>
  <c r="J63" i="6"/>
  <c r="I63" i="6"/>
  <c r="H63" i="6"/>
  <c r="D63" i="6"/>
  <c r="J61" i="6"/>
  <c r="I61" i="6"/>
  <c r="H61" i="6"/>
  <c r="I60" i="6"/>
  <c r="H60" i="6"/>
  <c r="I59" i="6"/>
  <c r="H59" i="6"/>
  <c r="I58" i="6"/>
  <c r="H58" i="6"/>
  <c r="I57" i="6"/>
  <c r="I56" i="6"/>
  <c r="J52" i="6"/>
  <c r="I52" i="6"/>
  <c r="H52" i="6"/>
  <c r="J51" i="6"/>
  <c r="I51" i="6"/>
  <c r="H51" i="6"/>
  <c r="H50" i="6"/>
  <c r="J49" i="6"/>
  <c r="I49" i="6"/>
  <c r="H49" i="6"/>
  <c r="J48" i="6"/>
  <c r="I48" i="6"/>
  <c r="H48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7" i="6"/>
  <c r="I37" i="6"/>
  <c r="H37" i="6"/>
  <c r="J36" i="6"/>
  <c r="I36" i="6"/>
  <c r="H36" i="6"/>
  <c r="J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J9" i="6"/>
  <c r="I9" i="6"/>
  <c r="H9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105" i="4"/>
  <c r="H108" i="4"/>
  <c r="H109" i="4"/>
  <c r="H110" i="4"/>
  <c r="H111" i="4"/>
  <c r="H112" i="4"/>
  <c r="H113" i="4"/>
  <c r="H114" i="4"/>
  <c r="H115" i="4"/>
  <c r="H116" i="4"/>
  <c r="H117" i="4"/>
  <c r="H118" i="4"/>
  <c r="H107" i="4"/>
  <c r="H119" i="4"/>
  <c r="H120" i="4"/>
  <c r="H121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06" i="4"/>
  <c r="I10" i="4"/>
  <c r="C95" i="4"/>
  <c r="C96" i="4"/>
  <c r="C97" i="4"/>
  <c r="C98" i="4"/>
  <c r="C99" i="4"/>
  <c r="C100" i="4"/>
  <c r="C101" i="4"/>
  <c r="C102" i="4"/>
  <c r="E109" i="4"/>
  <c r="E106" i="4"/>
  <c r="E107" i="4"/>
  <c r="E108" i="4"/>
  <c r="E105" i="4"/>
  <c r="E102" i="4"/>
  <c r="E101" i="4"/>
  <c r="D105" i="4"/>
  <c r="D106" i="4"/>
  <c r="D104" i="4"/>
  <c r="D103" i="4"/>
  <c r="D102" i="4"/>
  <c r="H155" i="5"/>
  <c r="H154" i="5"/>
  <c r="D154" i="5"/>
  <c r="H153" i="5"/>
  <c r="D153" i="5"/>
  <c r="H152" i="5"/>
  <c r="D152" i="5"/>
  <c r="H151" i="5"/>
  <c r="D151" i="5"/>
  <c r="H150" i="5"/>
  <c r="D150" i="5"/>
  <c r="H149" i="5"/>
  <c r="D149" i="5"/>
  <c r="H148" i="5"/>
  <c r="D148" i="5"/>
  <c r="H147" i="5"/>
  <c r="D147" i="5"/>
  <c r="H146" i="5"/>
  <c r="D146" i="5"/>
  <c r="H145" i="5"/>
  <c r="D145" i="5"/>
  <c r="H144" i="5"/>
  <c r="D144" i="5"/>
  <c r="H143" i="5"/>
  <c r="D143" i="5"/>
  <c r="H142" i="5"/>
  <c r="D142" i="5"/>
  <c r="H141" i="5"/>
  <c r="D141" i="5"/>
  <c r="H140" i="5"/>
  <c r="D140" i="5"/>
  <c r="H139" i="5"/>
  <c r="D139" i="5"/>
  <c r="H138" i="5"/>
  <c r="D138" i="5"/>
  <c r="H137" i="5"/>
  <c r="D137" i="5"/>
  <c r="H136" i="5"/>
  <c r="D136" i="5"/>
  <c r="H135" i="5"/>
  <c r="D135" i="5"/>
  <c r="H134" i="5"/>
  <c r="D134" i="5"/>
  <c r="H133" i="5"/>
  <c r="D133" i="5"/>
  <c r="H132" i="5"/>
  <c r="D132" i="5"/>
  <c r="H131" i="5"/>
  <c r="D131" i="5"/>
  <c r="H130" i="5"/>
  <c r="D130" i="5"/>
  <c r="H129" i="5"/>
  <c r="D129" i="5"/>
  <c r="H128" i="5"/>
  <c r="D128" i="5"/>
  <c r="H127" i="5"/>
  <c r="D127" i="5"/>
  <c r="H126" i="5"/>
  <c r="D126" i="5"/>
  <c r="H125" i="5"/>
  <c r="D125" i="5"/>
  <c r="H124" i="5"/>
  <c r="D124" i="5"/>
  <c r="H123" i="5"/>
  <c r="D123" i="5"/>
  <c r="H122" i="5"/>
  <c r="D122" i="5"/>
  <c r="H121" i="5"/>
  <c r="D121" i="5"/>
  <c r="H120" i="5"/>
  <c r="D120" i="5"/>
  <c r="H119" i="5"/>
  <c r="D119" i="5"/>
  <c r="H118" i="5"/>
  <c r="D118" i="5"/>
  <c r="H117" i="5"/>
  <c r="D117" i="5"/>
  <c r="H116" i="5"/>
  <c r="D116" i="5"/>
  <c r="H115" i="5"/>
  <c r="D115" i="5"/>
  <c r="H114" i="5"/>
  <c r="D114" i="5"/>
  <c r="H113" i="5"/>
  <c r="D113" i="5"/>
  <c r="H112" i="5"/>
  <c r="D112" i="5"/>
  <c r="H111" i="5"/>
  <c r="D111" i="5"/>
  <c r="H110" i="5"/>
  <c r="D110" i="5"/>
  <c r="H109" i="5"/>
  <c r="D109" i="5"/>
  <c r="H108" i="5"/>
  <c r="D108" i="5"/>
  <c r="H107" i="5"/>
  <c r="D107" i="5"/>
  <c r="H106" i="5"/>
  <c r="H105" i="5"/>
  <c r="H104" i="5"/>
  <c r="D104" i="5"/>
  <c r="H103" i="5"/>
  <c r="D103" i="5"/>
  <c r="H102" i="5"/>
  <c r="H101" i="5"/>
  <c r="D101" i="5"/>
  <c r="H100" i="5"/>
  <c r="D100" i="5"/>
  <c r="H99" i="5"/>
  <c r="D99" i="5"/>
  <c r="H98" i="5"/>
  <c r="D98" i="5"/>
  <c r="H97" i="5"/>
  <c r="D97" i="5"/>
  <c r="H96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H78" i="5"/>
  <c r="D78" i="5"/>
  <c r="C78" i="5"/>
  <c r="H77" i="5"/>
  <c r="D77" i="5"/>
  <c r="H76" i="5"/>
  <c r="D76" i="5"/>
  <c r="H75" i="5"/>
  <c r="D75" i="5"/>
  <c r="H74" i="5"/>
  <c r="D74" i="5"/>
  <c r="H73" i="5"/>
  <c r="D73" i="5"/>
  <c r="H72" i="5"/>
  <c r="D72" i="5"/>
  <c r="H71" i="5"/>
  <c r="D71" i="5"/>
  <c r="H70" i="5"/>
  <c r="D70" i="5"/>
  <c r="H69" i="5"/>
  <c r="D69" i="5"/>
  <c r="H68" i="5"/>
  <c r="D68" i="5"/>
  <c r="H67" i="5"/>
  <c r="D67" i="5"/>
  <c r="H66" i="5"/>
  <c r="D66" i="5"/>
  <c r="H65" i="5"/>
  <c r="D65" i="5"/>
  <c r="H64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D64" i="5"/>
  <c r="J63" i="5"/>
  <c r="I63" i="5"/>
  <c r="H63" i="5"/>
  <c r="D63" i="5"/>
  <c r="J61" i="5"/>
  <c r="I61" i="5"/>
  <c r="H61" i="5"/>
  <c r="I60" i="5"/>
  <c r="H60" i="5"/>
  <c r="I59" i="5"/>
  <c r="H59" i="5"/>
  <c r="I58" i="5"/>
  <c r="H58" i="5"/>
  <c r="I57" i="5"/>
  <c r="I56" i="5"/>
  <c r="J52" i="5"/>
  <c r="I52" i="5"/>
  <c r="H52" i="5"/>
  <c r="J51" i="5"/>
  <c r="I51" i="5"/>
  <c r="H51" i="5"/>
  <c r="H50" i="5"/>
  <c r="J49" i="5"/>
  <c r="I49" i="5"/>
  <c r="H49" i="5"/>
  <c r="J48" i="5"/>
  <c r="I48" i="5"/>
  <c r="H48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7" i="5"/>
  <c r="I37" i="5"/>
  <c r="H37" i="5"/>
  <c r="J36" i="5"/>
  <c r="I36" i="5"/>
  <c r="H36" i="5"/>
  <c r="J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C78" i="4"/>
  <c r="C79" i="4"/>
  <c r="D91" i="4"/>
  <c r="D71" i="4"/>
  <c r="I60" i="4"/>
  <c r="H60" i="4"/>
  <c r="I57" i="4"/>
  <c r="I52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96" i="4"/>
  <c r="H97" i="4"/>
  <c r="H98" i="4"/>
  <c r="H99" i="4"/>
  <c r="H100" i="4"/>
  <c r="H101" i="4"/>
  <c r="H102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65" i="4"/>
  <c r="H64" i="4"/>
  <c r="H63" i="4"/>
  <c r="H59" i="4"/>
  <c r="H61" i="4"/>
  <c r="H58" i="4"/>
  <c r="H49" i="4"/>
  <c r="H50" i="4"/>
  <c r="H51" i="4"/>
  <c r="H52" i="4"/>
  <c r="H48" i="4"/>
  <c r="D64" i="4"/>
  <c r="D63" i="4"/>
  <c r="I63" i="4"/>
  <c r="I58" i="4"/>
  <c r="I59" i="4"/>
  <c r="I61" i="4"/>
  <c r="I56" i="4"/>
  <c r="J63" i="4"/>
  <c r="J61" i="4"/>
  <c r="I49" i="4"/>
  <c r="J49" i="4"/>
  <c r="I51" i="4"/>
  <c r="J51" i="4"/>
  <c r="J52" i="4"/>
  <c r="I48" i="4"/>
  <c r="J48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1" i="4"/>
  <c r="D100" i="4"/>
  <c r="D99" i="4"/>
  <c r="D98" i="4"/>
  <c r="D97" i="4"/>
  <c r="D96" i="4"/>
  <c r="D95" i="4"/>
  <c r="D94" i="4"/>
  <c r="D93" i="4"/>
  <c r="D92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0" i="4"/>
  <c r="D69" i="4"/>
  <c r="D68" i="4"/>
  <c r="D67" i="4"/>
  <c r="D66" i="4"/>
  <c r="D65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7" i="4"/>
  <c r="I37" i="4"/>
  <c r="H37" i="4"/>
  <c r="J36" i="4"/>
  <c r="I36" i="4"/>
  <c r="H36" i="4"/>
  <c r="J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H10" i="4"/>
  <c r="J9" i="4"/>
  <c r="I9" i="4"/>
  <c r="H9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40" i="3"/>
  <c r="H40" i="3"/>
  <c r="I40" i="3"/>
  <c r="G41" i="3"/>
  <c r="H41" i="3"/>
  <c r="I41" i="3"/>
  <c r="G42" i="3"/>
  <c r="H42" i="3"/>
  <c r="I42" i="3"/>
  <c r="G43" i="3"/>
  <c r="H43" i="3"/>
  <c r="I43" i="3"/>
  <c r="G44" i="3"/>
  <c r="H44" i="3"/>
  <c r="I44" i="3"/>
  <c r="G45" i="3"/>
  <c r="H45" i="3"/>
  <c r="I45" i="3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I39" i="3"/>
  <c r="G39" i="3"/>
  <c r="H39" i="3"/>
  <c r="I38" i="3"/>
  <c r="G38" i="3"/>
  <c r="H38" i="3"/>
  <c r="H36" i="3"/>
  <c r="I36" i="3"/>
  <c r="G36" i="3"/>
  <c r="G25" i="3"/>
  <c r="H25" i="3"/>
  <c r="I25" i="3"/>
  <c r="G26" i="3"/>
  <c r="H26" i="3"/>
  <c r="I26" i="3"/>
  <c r="G27" i="3"/>
  <c r="H27" i="3"/>
  <c r="I27" i="3"/>
  <c r="G28" i="3"/>
  <c r="H28" i="3"/>
  <c r="I28" i="3"/>
  <c r="G29" i="3"/>
  <c r="H29" i="3"/>
  <c r="I29" i="3"/>
  <c r="G30" i="3"/>
  <c r="H30" i="3"/>
  <c r="I30" i="3"/>
  <c r="G31" i="3"/>
  <c r="H31" i="3"/>
  <c r="I31" i="3"/>
  <c r="G32" i="3"/>
  <c r="H32" i="3"/>
  <c r="I32" i="3"/>
  <c r="G33" i="3"/>
  <c r="H33" i="3"/>
  <c r="I33" i="3"/>
  <c r="G34" i="3"/>
  <c r="I34" i="3"/>
  <c r="G35" i="3"/>
  <c r="H35" i="3"/>
  <c r="I35" i="3"/>
  <c r="G23" i="3"/>
  <c r="H23" i="3"/>
  <c r="I23" i="3"/>
  <c r="G24" i="3"/>
  <c r="H24" i="3"/>
  <c r="I24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I22" i="3"/>
  <c r="H22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D103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06" i="1"/>
  <c r="D64" i="1"/>
  <c r="D65" i="1"/>
  <c r="D66" i="1"/>
  <c r="D63" i="1"/>
  <c r="D6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G109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C107" i="6"/>
  <c r="H108" i="6"/>
  <c r="H107" i="6"/>
  <c r="C79" i="6"/>
  <c r="H80" i="6"/>
  <c r="C108" i="6"/>
  <c r="H109" i="6"/>
  <c r="H79" i="5"/>
  <c r="C79" i="5"/>
  <c r="G91" i="4"/>
  <c r="G92" i="4"/>
  <c r="G93" i="4"/>
  <c r="G94" i="4"/>
  <c r="C80" i="4"/>
  <c r="H80" i="4"/>
  <c r="C80" i="6"/>
  <c r="H81" i="6"/>
  <c r="C81" i="6"/>
  <c r="C109" i="6"/>
  <c r="H110" i="6"/>
  <c r="G95" i="4"/>
  <c r="G96" i="4"/>
  <c r="G97" i="4"/>
  <c r="G98" i="4"/>
  <c r="G99" i="4"/>
  <c r="G100" i="4"/>
  <c r="G101" i="4"/>
  <c r="G102" i="4"/>
  <c r="G103" i="4"/>
  <c r="G104" i="4"/>
  <c r="G106" i="4"/>
  <c r="G107" i="4"/>
  <c r="G108" i="4"/>
  <c r="G109" i="4"/>
  <c r="G110" i="4"/>
  <c r="G111" i="4"/>
  <c r="G112" i="4"/>
  <c r="C80" i="5"/>
  <c r="H80" i="5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C81" i="4"/>
  <c r="H81" i="4"/>
  <c r="H82" i="6"/>
  <c r="C82" i="6"/>
  <c r="H111" i="6"/>
  <c r="H81" i="5"/>
  <c r="C81" i="5"/>
  <c r="C82" i="4"/>
  <c r="H82" i="4"/>
  <c r="H112" i="6"/>
  <c r="C83" i="6"/>
  <c r="H83" i="6"/>
  <c r="H82" i="5"/>
  <c r="C82" i="5"/>
  <c r="C83" i="4"/>
  <c r="H83" i="4"/>
  <c r="H84" i="6"/>
  <c r="C84" i="6"/>
  <c r="H113" i="6"/>
  <c r="H83" i="5"/>
  <c r="C83" i="5"/>
  <c r="C84" i="4"/>
  <c r="H84" i="4"/>
  <c r="H114" i="6"/>
  <c r="H85" i="6"/>
  <c r="C85" i="6"/>
  <c r="C84" i="5"/>
  <c r="H84" i="5"/>
  <c r="C85" i="4"/>
  <c r="H85" i="4"/>
  <c r="H86" i="6"/>
  <c r="C86" i="6"/>
  <c r="C114" i="6"/>
  <c r="H115" i="6"/>
  <c r="H85" i="5"/>
  <c r="C85" i="5"/>
  <c r="C86" i="4"/>
  <c r="H86" i="4"/>
  <c r="C115" i="6"/>
  <c r="H116" i="6"/>
  <c r="C87" i="6"/>
  <c r="H87" i="6"/>
  <c r="H86" i="5"/>
  <c r="C86" i="5"/>
  <c r="C87" i="4"/>
  <c r="H87" i="4"/>
  <c r="H88" i="6"/>
  <c r="C88" i="6"/>
  <c r="C116" i="6"/>
  <c r="H117" i="6"/>
  <c r="H87" i="5"/>
  <c r="C87" i="5"/>
  <c r="C88" i="4"/>
  <c r="H88" i="4"/>
  <c r="C117" i="6"/>
  <c r="H118" i="6"/>
  <c r="H89" i="6"/>
  <c r="C89" i="6"/>
  <c r="C88" i="5"/>
  <c r="H88" i="5"/>
  <c r="C89" i="4"/>
  <c r="H89" i="4"/>
  <c r="H90" i="6"/>
  <c r="C90" i="6"/>
  <c r="C118" i="6"/>
  <c r="C119" i="6" s="1"/>
  <c r="H119" i="6"/>
  <c r="H89" i="5"/>
  <c r="C89" i="5"/>
  <c r="H90" i="4"/>
  <c r="C90" i="4"/>
  <c r="C91" i="6"/>
  <c r="H91" i="6"/>
  <c r="H90" i="5"/>
  <c r="C90" i="5"/>
  <c r="C91" i="4"/>
  <c r="H91" i="4"/>
  <c r="H92" i="6"/>
  <c r="C92" i="6"/>
  <c r="H91" i="5"/>
  <c r="C91" i="5"/>
  <c r="C92" i="4"/>
  <c r="H92" i="4"/>
  <c r="H93" i="6"/>
  <c r="C93" i="6"/>
  <c r="C92" i="5"/>
  <c r="H92" i="5"/>
  <c r="H93" i="4"/>
  <c r="C93" i="4"/>
  <c r="H94" i="6"/>
  <c r="C94" i="6"/>
  <c r="H93" i="5"/>
  <c r="C93" i="5"/>
  <c r="H94" i="4"/>
  <c r="C94" i="4"/>
  <c r="H95" i="4"/>
  <c r="C95" i="6"/>
  <c r="H95" i="6"/>
  <c r="H94" i="5"/>
  <c r="C94" i="5"/>
  <c r="H95" i="5"/>
  <c r="H96" i="6"/>
  <c r="C96" i="6"/>
  <c r="H97" i="6"/>
  <c r="C97" i="6"/>
  <c r="H98" i="6"/>
  <c r="C98" i="6"/>
  <c r="C99" i="6"/>
  <c r="H99" i="6"/>
  <c r="H100" i="6"/>
  <c r="C100" i="6"/>
  <c r="H101" i="6"/>
  <c r="C101" i="6"/>
  <c r="C102" i="6"/>
  <c r="H102" i="6"/>
  <c r="C120" i="6" l="1"/>
  <c r="H120" i="6"/>
  <c r="C121" i="6" l="1"/>
  <c r="H121" i="6"/>
  <c r="C122" i="6" l="1"/>
  <c r="H122" i="6"/>
  <c r="C123" i="6" l="1"/>
  <c r="H123" i="6"/>
  <c r="C124" i="6" l="1"/>
  <c r="H124" i="6"/>
  <c r="C125" i="6" l="1"/>
  <c r="H126" i="6" s="1"/>
  <c r="H1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tc={2CD4C625-6CB9-4128-BE9B-70C44D8325BD}</author>
    <author>tc={7B1B1499-7E23-48DB-A305-055F46C59B07}</author>
    <author>tc={E7A03774-8CD6-472F-89D0-6F23A44FE056}</author>
    <author>tc={E2A08735-74CF-4247-A108-2BDDECE27E8B}</author>
    <author/>
    <author>tc={07445A2A-F90D-4DFF-919A-EF8158036383}</author>
  </authors>
  <commentList>
    <comment ref="G3" authorId="0" shapeId="0" xr:uid="{2CD4C625-6CB9-4128-BE9B-70C44D8325B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https://youtube.com/playlist?list=PLc7XP3wbtSyQGWLEeWoAj6EPB1SNtmRuA&amp;si=Y-RFz98e19tvZttt</t>
      </text>
    </comment>
    <comment ref="G89" authorId="1" shapeId="0" xr:uid="{7B1B1499-7E23-48DB-A305-055F46C59B07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 errada</t>
      </text>
    </comment>
    <comment ref="E116" authorId="2" shapeId="0" xr:uid="{E7A03774-8CD6-472F-89D0-6F23A44FE056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as crianças foram dados os capítulos 3 a 5</t>
      </text>
    </comment>
    <comment ref="E117" authorId="3" shapeId="0" xr:uid="{E2A08735-74CF-4247-A108-2BDDECE27E8B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as crianças foram dados os capítulos 8 e 9</t>
      </text>
    </comment>
    <comment ref="G122" authorId="4" shapeId="0" xr:uid="{286B89A3-4615-4F84-9A4E-9112D431C777}">
      <text>
        <r>
          <rPr>
            <sz val="11"/>
            <color theme="1"/>
            <rFont val="Calibri"/>
            <family val="2"/>
            <scheme val="minor"/>
          </rPr>
          <t>A jornada de Paulo a Roma 1. Paulo encontra violenta oposição em Jerusalém no outono de 57 DC. Após um tumulto no Templo, ele é resgatado pelos romanos. (Atos 21:20-36) Ele é transferido sob o manto da escuridão para Antipatris, e então é levado para Cesaréia. (Atos 23:23-32) 2. Paulo é deixado na prisão por dois anos até que um novo governador romano seja nomeado. Quando os judeus exigem que ele volte a Jerusalém para ser julgado, Paulo apela ao imperador em Roma. (Atos 25:1-12) Paulo parte para Roma no outono de 59 DC em um navio de Adramyttium. (Atos 27:1-3) 3. De Sidom, Paulo, Lucas e Aristarco navegam para Myra, onde embarcam em um navio romano de grãos indo do Egito para Roma. (Atos 27:4-6) 4. Eles navegam ao longo da costa da Lícia contra um forte vento contrário e chegam a Cnido. (Atos 27:7) 5. Eles atravessam o Mar Mediterrâneo e navegam ao longo da protegida costa sul de Creta, onde ancoram em Bons Portos. (Atos 27:8) 6. Não querendo passar o inverno aqui, o capitão parte para Phoenix, mas uma grande tempestade joga o navio no mar. Depois de quatorze dias cavalgando contra a tempestade, eles naufragaram em Malta e conseguiram nadar até a costa. (Atos 27:12-44) 7. Depois de passar três meses de inverno em Malta, Paulo e seus companheiros se juntam a outro navio alexandrino de grãos com destino a Roma. Eles navegam pelo Estreito de Messina e desembarcam em Puteoli. A partir daqui, Paulo viaja a pé ao longo da Via Domiciana e da Via Appia, chegando a Roma na primavera de 60 DC. (Atos 28:1-16)
======</t>
        </r>
      </text>
    </comment>
    <comment ref="G129" authorId="4" shapeId="0" xr:uid="{53B43B22-3384-4F8D-AABE-C862639972BD}">
      <text>
        <r>
          <rPr>
            <sz val="11"/>
            <color theme="1"/>
            <rFont val="Calibri"/>
            <family val="2"/>
            <scheme val="minor"/>
          </rPr>
          <t>A quarta viagem missionária de Paulo
1. A evidência das 'cartas pastorais' sugere que o resultado do julgamento de Paulo perante Nero em 62 DC foi positivo. Após sua absolvição em 62 DC, Paulo deixou Roma e provavelmente embarcou em uma "quarta viagem missionária". Em Creta, Paulo designou Tito para ser o líder da igreja local. (Tito 1:5)
Foi por esta causa que deixei você em Creta: para que pusesse em ordem as coisas restantes, bem como, em cada cidade, constituísse presbíteros, conforme prescrevi a você:
Tito 1:5
2. Paulo visitou Mileto e deixou Trófimo lá porque estava doente. (2 Timóteo 4:20) Ele então deixou Timóteo no comando da igreja em Éfeso. (1 Timóteo 1:3)
Erasto ficou em Corinto. Quanto a Trófimo, deixei-o doente em Mileto.
2 Timóteo 4:20
Quando eu estava de viagem, rumo à Macedônia, pedi a você que ainda permanecesse em Éfeso para admoestar certas pessoas, a fim de que não ensinem outra doutrina,
1 Timóteo 1:3
3. Paulo pode ter visitado Colossos (Filemom 1:22) antes de continuar para Trôade, onde deixou seu casaco com Carpo. (2 Timóteo 4:13)
E, ao mesmo tempo, prepare-me também pousada, pois espero que, por meio das orações de vocês, eu lhes seja restituído.
Filemom 1:22
Quando você vier, traga a capa que deixei em Trôade, na casa de Carpo. Traga também os livros, especialmente os pergaminhos.
2 Timóteo 4:13
4. Paulo então foi para Filipos, onde escreveu sua Primeira Carta a Timóteo e sua Carta a Tito entre 63 e 66 DC. (1 Timóteo 1:3)
Quando eu estava de viagem, rumo à Macedônia, pedi a você que ainda permanecesse em Éfeso para admoestar certas pessoas, a fim de que não ensinem outra doutrina,
1 Timóteo 1:3
5. Paulo pode ter visitado Éfeso novamente antes de viajar para Corinto. (1 Timóteo 3:14, 4:13 e 2 Timóteo 4:20)
Escrevo estas coisas a você, esperando ir vê-lo em breve.
1 Timóteo 3:14
Até a minha chegada, dedique-se à leitura pública das Escrituras, à exortação, ao ensino.
1 Timóteo 4:13
Erasto ficou em Corinto. Quanto a Trófimo, deixei-o doente em Mileto.
2 Timóteo 4:20
6. Paulo passou o inverno em Nicópolis, onde pediu a Tito que o encontrasse. (Tito 3:12)
7. Paulo então retornou a Roma, onde foi preso na Prisão Mamertina. (2 Timóteo 1:8, 16-17 e 2:9). Ele escreveu sua Segunda Carta a Timóteo pouco antes de ser executado em c.67 dC durante a intensa perseguição de judeus e cristãos por Nero. (2 Timóteo 4:6).
Portanto, não se envergonhe do testemunho de nosso Senhor, nem do seu prisioneiro, que sou eu. Pelo contrário, participe comigo dos sofrimentos a favor do evangelho, segundo o poder de Deus,
2 Timóteo 1:8
Que o Senhor conceda misericórdia à casa de Onesíforo, porque, muitas vezes, me deu ânimo e nunca se envergonhou das minhas algemas.
Pelo contrário, quando chegou a Roma, me procurou com persistência até me encontrar.
2 Timóteo 1:16,17
É por ele que estou sofrendo até algemas, como malfeitor. Mas a palavra de Deus não está algemada.
2 Timóteo 2:9
Quanto a mim, já estou sendo oferecido por libação, e o tempo da minha partida chegou.
2 Timóteo 4:6
======</t>
        </r>
      </text>
    </comment>
    <comment ref="D133" authorId="5" shapeId="0" xr:uid="{07445A2A-F90D-4DFF-919A-EF8158036383}">
      <text>
        <t>[Threaded comment]
Your version of Excel allows you to read this threaded comment; however, any edits to it will get removed if the file is opened in a newer version of Excel. Learn more: https://go.microsoft.com/fwlink/?linkid=870924
Comment:
    Aula "fora de ordem" por conta da disponibilidade do professor rev. Leandro Lima</t>
      </text>
    </comment>
  </commentList>
</comments>
</file>

<file path=xl/sharedStrings.xml><?xml version="1.0" encoding="utf-8"?>
<sst xmlns="http://schemas.openxmlformats.org/spreadsheetml/2006/main" count="3907" uniqueCount="755">
  <si>
    <t>CURRÍCULO - EBD - IPBF (2020-2023)</t>
  </si>
  <si>
    <t>https://www.dropbox.com/sh/nl43kmpzif1vn02/AAAMnk0sX-YarFv-E_LWBplna?dl=0</t>
  </si>
  <si>
    <t>N.</t>
  </si>
  <si>
    <t>Tema</t>
  </si>
  <si>
    <t>Assunto</t>
  </si>
  <si>
    <t>Referência Bíblica/Perícope</t>
  </si>
  <si>
    <t>AT/NT</t>
  </si>
  <si>
    <t>Link no YouTube</t>
  </si>
  <si>
    <t>A criação</t>
  </si>
  <si>
    <t>No princípio criou Deus</t>
  </si>
  <si>
    <t>Gênesis 1 e 2; Colossenses 1: 15-18</t>
  </si>
  <si>
    <t>AT</t>
  </si>
  <si>
    <t>https://www.youtube.com/live/7ORwt2Q-5uQ?si=f3cRNawMCL8KBfHA</t>
  </si>
  <si>
    <t>O pecado e as boas novas de Deus</t>
  </si>
  <si>
    <t>Gênesis 3 e 4</t>
  </si>
  <si>
    <t>https://youtu.be/ak8F7bZ9QFc?si=7YjCUxyTS_AAxxbD</t>
  </si>
  <si>
    <t>Diúvio (O pecado e a graça)</t>
  </si>
  <si>
    <t>Gênesis 6 a 9</t>
  </si>
  <si>
    <t>https://youtu.be/WNNsa7Mskg8?si=vojMKEpi7aJ4a8Ci</t>
  </si>
  <si>
    <t>Torre de Babel (O pecado e a autoridade)</t>
  </si>
  <si>
    <t>Gênesis 11</t>
  </si>
  <si>
    <t>https://youtu.be/P-Ze7onWFgg?si=Sz2b_FpYW22EwBDB</t>
  </si>
  <si>
    <t>Deus forma seu povo</t>
  </si>
  <si>
    <t>Deus faz uma promessa com Abraão</t>
  </si>
  <si>
    <t>Gênesis 12;15;17</t>
  </si>
  <si>
    <t>https://www.youtube.com/live/Ov0uHhaZSX8?si=f78wUqvgCJg-zSTQ</t>
  </si>
  <si>
    <t>Abraão e Isaque</t>
  </si>
  <si>
    <t>Gênesis 21 e 22; Hebreus 11: 17-19</t>
  </si>
  <si>
    <t>https://www.youtube.com/live/wU8j4JbZ7cs?si=7yMlgJwIEVo5fn4d</t>
  </si>
  <si>
    <t>Promessa, providência  renovação (Isaque e Rebeca)</t>
  </si>
  <si>
    <t>Gênesis 24–26</t>
  </si>
  <si>
    <t>https://www.youtube.com/live/GcRrnfns5vQ?si=-01Bi_hGsaAFdVQS</t>
  </si>
  <si>
    <t>O povo cresce</t>
  </si>
  <si>
    <t>Jacó e Esaú - A misericórdia de Deus para um enganador</t>
  </si>
  <si>
    <t>Gênesis 27-28</t>
  </si>
  <si>
    <t>https://www.youtube.com/live/uB7XF5SHyTw?si=Fi4vZkddJkG6ADe5</t>
  </si>
  <si>
    <t>Jacó, Lia e Raquel - Dom de amor de Deus</t>
  </si>
  <si>
    <t>Gênesis 29-31</t>
  </si>
  <si>
    <t>https://www.youtube.com/live/IeWsI_xa3oE?si=ojwPAvEZPvWWtFzF</t>
  </si>
  <si>
    <t>Reencontro e reconciliação</t>
  </si>
  <si>
    <t>Gênesis 32, 33 e 35</t>
  </si>
  <si>
    <t>https://www.youtube.com/live/KfEm9MbRtnE?si=we50w38kQzhG495G</t>
  </si>
  <si>
    <t>O povo de Deus no Egito</t>
  </si>
  <si>
    <t>Deus redime a traição - José enviado ao Egito</t>
  </si>
  <si>
    <t>Gênesis 37-38</t>
  </si>
  <si>
    <t>https://www.youtube.com/live/QJqTSLQiU4E?si=kHCOalphus_XSrDq</t>
  </si>
  <si>
    <t>Deus redime a adversidade – José explicou os sonhos</t>
  </si>
  <si>
    <t>Gênesis 39-41</t>
  </si>
  <si>
    <t>https://www.youtube.com/live/AeLN-M0wcLM?si=1PD9nu6Fogn9wcrE</t>
  </si>
  <si>
    <t>Deus transforma o Mal em Bem - José salvou sua família</t>
  </si>
  <si>
    <t>Gn 42–46; 50</t>
  </si>
  <si>
    <t>https://www.youtube.com/live/g0aB_oBJkDc?si=ymv-6bJbJZOJ8nLY</t>
  </si>
  <si>
    <t>Deus ouve seu povo - Moisés nasceu e foi chamado</t>
  </si>
  <si>
    <t>Êxodo 1-4</t>
  </si>
  <si>
    <t>https://www.youtube.com/live/SNNuGFvKC_g?si=WcOxwN8rmAJE7E8F</t>
  </si>
  <si>
    <t>Deus protege seu povo - As pragas e a Páscoa</t>
  </si>
  <si>
    <t>Êxodo 5-12</t>
  </si>
  <si>
    <t>https://www.youtube.com/live/vKJtf9wN0Bo?si=Jmu6TE5g4rBI_67g</t>
  </si>
  <si>
    <t>LIBERTAÇÃO - Travessia do Mar Vermelho</t>
  </si>
  <si>
    <t>Êxodo 13-15</t>
  </si>
  <si>
    <t>https://www.youtube.com/live/lNBXw0x201Y?si=e1LbIGdQmJqDmqph</t>
  </si>
  <si>
    <t>27/6 - Revisão</t>
  </si>
  <si>
    <t>Em direção à Terra Prometida</t>
  </si>
  <si>
    <t>PROVIDÊNCIA: Pão do céu - Um teste no deserto</t>
  </si>
  <si>
    <t>Êxodo Ex 15.22–17; 1Co 10: 1-6</t>
  </si>
  <si>
    <t>https://www.youtube.com/live/t-eDzVO14F0?si=5U1eYACmTjvTBH_h</t>
  </si>
  <si>
    <t>GOVERNO: A sabedoria de um líder - Jetro ajudou Moisés</t>
  </si>
  <si>
    <t>Êxodo 18</t>
  </si>
  <si>
    <t>https://www.youtube.com/live/rIbyVU6Xa0s?si=gbuudlr88S_TUEaA</t>
  </si>
  <si>
    <t>LEI: uma LEI para o povo de Deus</t>
  </si>
  <si>
    <t>Êxodo 19-20</t>
  </si>
  <si>
    <t>https://www.youtube.com/live/LUG75HGoz_g?si=Wq93Cz2_dP3XHgkR</t>
  </si>
  <si>
    <t>Os dez mandamentos - Uma LEI para o povo de Deus</t>
  </si>
  <si>
    <t>Ex 19-20</t>
  </si>
  <si>
    <t>https://www.youtube.com/live/2s7tzDZCXqA?si=dE6eBHmC7lN921fs</t>
  </si>
  <si>
    <t>Dt 6 a 26</t>
  </si>
  <si>
    <t>https://www.youtube.com/live/ZP9133P7llA?si=aK8gbZcbkGJc1iq7</t>
  </si>
  <si>
    <t xml:space="preserve">Adoração no Deserto </t>
  </si>
  <si>
    <t>Uma Imagem da Idolatria - O Bezerro de Ouro</t>
  </si>
  <si>
    <t>Ex 32; 34 e Lv</t>
  </si>
  <si>
    <t>https://www.youtube.com/live/__ZpasqB3BY?si=Mz4mfxXrA6Ykh_rs</t>
  </si>
  <si>
    <t>Um Lugar para a Presença de Deus - O Tabernáculo</t>
  </si>
  <si>
    <t>Êxodo 35-40 parte 1</t>
  </si>
  <si>
    <t>https://www.youtube.com/live/Tv2fc5XibUg?si=WUlfJ_FTapjb4LTV</t>
  </si>
  <si>
    <t>Êxodo 35-40 parte 2</t>
  </si>
  <si>
    <t>https://www.youtube.com/live/ybC2rpntsw4?si=GHJydt5-PsfKJHcI</t>
  </si>
  <si>
    <t>O Dia da Expiação - Regras para o Sacrifício</t>
  </si>
  <si>
    <t>Lv 16</t>
  </si>
  <si>
    <t>https://www.youtube.com/live/pjywjhab8-M?si=-pGI5GUxXBMGDbX4</t>
  </si>
  <si>
    <t>Vagando no Deserto</t>
  </si>
  <si>
    <t>Os espias e a rebelião do povo</t>
  </si>
  <si>
    <t>Introdução ao livro de Números
Nm 13-14</t>
  </si>
  <si>
    <t>https://www.youtube.com/live/qcyCohWENPM?si=zETxgKrVjoCkEGJ0</t>
  </si>
  <si>
    <t>A promessa da provisão de Deus - A Cobra de Bronze</t>
  </si>
  <si>
    <t>Números 20–21; João 3: 14-15</t>
  </si>
  <si>
    <t>https://www.youtube.com/live/8Pb5VH4PgxA?si=xPscbtkV6SiBlfff</t>
  </si>
  <si>
    <t>Revisão para as crianças</t>
  </si>
  <si>
    <t>A promessa da presença de Deus – A despedida de Moisés</t>
  </si>
  <si>
    <t>Dt 31–34</t>
  </si>
  <si>
    <t>https://www.youtube.com/live/Il7Qd8AEyo4?si=-MC4TZkkNwj2FO74</t>
  </si>
  <si>
    <t xml:space="preserve">Conquistando a Terra </t>
  </si>
  <si>
    <t>O Chamado à Coragem - Cruzando o Jordão</t>
  </si>
  <si>
    <t>Josué 1–4</t>
  </si>
  <si>
    <t>https://www.youtube.com/live/47W6cRlumsc?si=dXy0-WZ9NMYXFLiC</t>
  </si>
  <si>
    <t>A Promessa da Vitória - A batalha de Jericó
A Provisão de Paz - Tomando a terra</t>
  </si>
  <si>
    <t>Josué 2; 6; Josué 10–11; 24</t>
  </si>
  <si>
    <t>https://www.youtube.com/live/eUYlLlekEiw?si=MSEuk0nqYr6fuYs4</t>
  </si>
  <si>
    <t xml:space="preserve">O Ciclo de Juízes </t>
  </si>
  <si>
    <t>Ciclos de Rebelião - A infidelidade de Israel</t>
  </si>
  <si>
    <t>Juízes 1-3</t>
  </si>
  <si>
    <t>https://www.youtube.com/live/yC5inX-98sE?si=2mdDPZoSZWn3ARfE</t>
  </si>
  <si>
    <t>A Sabedoria de um Libertador - Débora e Baraque</t>
  </si>
  <si>
    <t>Juízes 4-5</t>
  </si>
  <si>
    <t>https://www.youtube.com/live/-DrIMZnPjvI?si=YTtsG1MGxSWadZGF</t>
  </si>
  <si>
    <t>A fraqueza de um salvador - Gideão</t>
  </si>
  <si>
    <t>Juízes 6–8</t>
  </si>
  <si>
    <t>https://www.youtube.com/live/Ivv8l27FStU?si=yfd6QPlZGyFLnyIJ</t>
  </si>
  <si>
    <t>A humilhação do orgulhoso - Sansão</t>
  </si>
  <si>
    <t>Juízes 13–16</t>
  </si>
  <si>
    <t>https://www.youtube.com/live/i8iRXi5nV-E?si=6E5MxXWAfACKhmCI</t>
  </si>
  <si>
    <t>A Esperança da Redenção - Rute e Boaz</t>
  </si>
  <si>
    <t>Rute 1 a 4</t>
  </si>
  <si>
    <t>https://www.youtube.com/live/V7P-RAdGAsw?si=FToz0NDBq1XDxjwr</t>
  </si>
  <si>
    <t>Avulsa</t>
  </si>
  <si>
    <t>Retrospectiva - Jesus apontado no Pentateuco</t>
  </si>
  <si>
    <t>Pentateuco</t>
  </si>
  <si>
    <t>https://youtu.be/gTI4J4t6qeo?si=cksN74v6r_26JJ7F</t>
  </si>
  <si>
    <t>Retrospectiva - O Evangelho</t>
  </si>
  <si>
    <t>Livros historicos</t>
  </si>
  <si>
    <t>https://www.youtube.com/live/aEz_wB0cLgU?si=LzNJ1umspMU-6l5Y</t>
  </si>
  <si>
    <t>O nascimento de Jesus</t>
  </si>
  <si>
    <t>Evangelhos</t>
  </si>
  <si>
    <t>https://www.youtube.com/live/rW4LYZ6eqzc?si=6hz1BCZ3KhDdFwQF</t>
  </si>
  <si>
    <t>E o seu nome será</t>
  </si>
  <si>
    <t>Is 9.6</t>
  </si>
  <si>
    <t>https://www.youtube.com/live/gvguDorJpNM?si=VlN3nPbt2DqwMsKn</t>
  </si>
  <si>
    <t>A oração do Senhor</t>
  </si>
  <si>
    <t>Mateus 6</t>
  </si>
  <si>
    <t>-</t>
  </si>
  <si>
    <t>Contexto histórico</t>
  </si>
  <si>
    <t>BCW 4-38</t>
  </si>
  <si>
    <t>https://www.youtube.com/live/h5wRFjrDSeA?si=NtshZvT1POny6Sb6</t>
  </si>
  <si>
    <t>Credo apostólico</t>
  </si>
  <si>
    <t>BCW 98-107</t>
  </si>
  <si>
    <t>https://www.youtube.com/live/ya__QLny6kg?si=hdLgQHu1-XxFJhOB</t>
  </si>
  <si>
    <t>Sacerdote, Profeta e Rei</t>
  </si>
  <si>
    <t>BCW p 23 a 26</t>
  </si>
  <si>
    <t>https://www.youtube.com/live/8ab9JBKaK-c?si=cYM5LdrHa_JbmU-P</t>
  </si>
  <si>
    <t>Samuel e o Rei Saul</t>
  </si>
  <si>
    <t>Deus chama um profeta</t>
  </si>
  <si>
    <t>1 Samuel 1–3</t>
  </si>
  <si>
    <t>https://www.youtube.com/live/VQMkIVMKpJg?si=_bdoTQ9Azg6qnq1I</t>
  </si>
  <si>
    <t>Icabod – Foi-se a glória</t>
  </si>
  <si>
    <t>1 Samuel 4–7</t>
  </si>
  <si>
    <t>https://www.youtube.com/live/ympKxwf8c9k?si=zjz4NFsPzJGAENZG</t>
  </si>
  <si>
    <t>Saul e Davi</t>
  </si>
  <si>
    <t>Ascensão de Saul</t>
  </si>
  <si>
    <t>1 Sm 8-12</t>
  </si>
  <si>
    <t>https://www.youtube.com/live/cfqBlrtIj14?si=N58kQstvEro-JEa1</t>
  </si>
  <si>
    <t>Reino fracassado</t>
  </si>
  <si>
    <t>1 Sm 13-15</t>
  </si>
  <si>
    <t>https://www.youtube.com/live/EC-iFxtWn0Q?si=sD1wZ_00qHtm8oDj</t>
  </si>
  <si>
    <t>Davi foi ungido</t>
  </si>
  <si>
    <t>1 Sm 16–24</t>
  </si>
  <si>
    <t>https://www.youtube.com/live/bYw9AxBjvN8?si=f3-zrg4Uzc1dVBh5</t>
  </si>
  <si>
    <t>Morte de Samuel e batalhas contra os inimigos</t>
  </si>
  <si>
    <t>1 Sm 25-31</t>
  </si>
  <si>
    <t>https://www.youtube.com/live/fwIpjIAMTBo?si=J0VHPoMJ7wYWLZMJ</t>
  </si>
  <si>
    <t>O rei Davi</t>
  </si>
  <si>
    <t>A Aliança de Deus com Davi</t>
  </si>
  <si>
    <t>2 Sm 1-7</t>
  </si>
  <si>
    <t>https://www.youtube.com/live/UtnKHwAAoJ8?si=HpXnOP1jo2V1dHdo</t>
  </si>
  <si>
    <t>A bondade de Deus</t>
  </si>
  <si>
    <t>2 Sm 8-10</t>
  </si>
  <si>
    <t>https://www.youtube.com/live/IB6tRZykAow?si=_oWOFU343YXvrWPJ</t>
  </si>
  <si>
    <t>Davi pecou e foi restaurado</t>
  </si>
  <si>
    <t>2 Sm 11 a 18</t>
  </si>
  <si>
    <t>https://www.youtube.com/live/9QlbliAlEsc?si=4vUY3i_MRaRPEScO</t>
  </si>
  <si>
    <t>Epílogo de II Sm  e Salmos de Davi</t>
  </si>
  <si>
    <t>2 Sm 21-24 e Livro I - Salmos</t>
  </si>
  <si>
    <t>https://www.youtube.com/live/-ms0Ku3NfYs?si=C-PNpDXIfeNL-h6g</t>
  </si>
  <si>
    <t>Salmo 23 (crianças) e A verdadeira Páscoa (adultos)</t>
  </si>
  <si>
    <t>https://www.youtube.com/live/ymL4vwutYCo?si=e2ajyDAPjdIF-74M</t>
  </si>
  <si>
    <t>Rei sábio Salomão</t>
  </si>
  <si>
    <t xml:space="preserve">Salomão pediu sabedoria </t>
  </si>
  <si>
    <t>1 Reis 1 a 4</t>
  </si>
  <si>
    <t>https://www.youtube.com/live/mN9teN9US0A?si=ghl-HfMQqrtyaEtn</t>
  </si>
  <si>
    <t xml:space="preserve">Um filho aprende a verdadeira sabedoria - Sabedoria para o povo de Deus </t>
  </si>
  <si>
    <t>Provérbios</t>
  </si>
  <si>
    <t xml:space="preserve">Um filho constrói o Templo - Salomão construiu o templo </t>
  </si>
  <si>
    <t>1 Reis 6-8</t>
  </si>
  <si>
    <t>https://www.youtube.com/live/Je8mDxUgm5o?si=XiFEDa8891mnzUR2</t>
  </si>
  <si>
    <t xml:space="preserve">Um filho rejeita a Sabedoria - O reino dividido </t>
  </si>
  <si>
    <t>1 Reis 11-12</t>
  </si>
  <si>
    <t>https://www.youtube.com/live/HWF7NQG0rPw?si=zMtFsNtEis-LUdZR</t>
  </si>
  <si>
    <t>Elias e Eliseu</t>
  </si>
  <si>
    <t>Elias e a viúva</t>
  </si>
  <si>
    <t>1 Reis 17</t>
  </si>
  <si>
    <t>https://www.youtube.com/live/nhuiVZ0hVPU?si=Ptv3v7gowUX_8fJl</t>
  </si>
  <si>
    <t>Elias no Monte Carmelo</t>
  </si>
  <si>
    <t>1 Reis 18-19</t>
  </si>
  <si>
    <t>https://www.youtube.com/live/ezmtruPBO0Q?si=WNH3oZNMQNk8Mxqq</t>
  </si>
  <si>
    <t>Eliseu é sucessor de Elias</t>
  </si>
  <si>
    <t>1 Reis 19; 2 Reis 2</t>
  </si>
  <si>
    <t>https://www.youtube.com/live/v0xEjkw-6K0?si=Qg0lGVBwBhGWGWFo</t>
  </si>
  <si>
    <t>O ministério de Eliseu</t>
  </si>
  <si>
    <t>2 Reis3-10</t>
  </si>
  <si>
    <t>https://www.youtube.com/live/-fhldc461Nw?si=NVuYnJ6FohoDwdC9</t>
  </si>
  <si>
    <t>Nação dividida: o Reino do Norte</t>
  </si>
  <si>
    <t>Um povo rebelde recebe misericórdia - Jonas, Profeta de Nínive</t>
  </si>
  <si>
    <t>Jonas</t>
  </si>
  <si>
    <t>https://www.youtube.com/live/nZCImF5TJ3g?si=fxkItX7yXJ8U7Og1</t>
  </si>
  <si>
    <t>Um povo idólatra recebe julgamento - Israel capturado</t>
  </si>
  <si>
    <t>2 Reis 17</t>
  </si>
  <si>
    <t>https://www.youtube.com/live/N4xtrvHCmbk?si=IRrPLEbk6j7fHPCC</t>
  </si>
  <si>
    <t>Profetas</t>
  </si>
  <si>
    <t>https://www.youtube.com/live/l-Qd4P9fZmI?si=CR1zusQXinm0vP1N</t>
  </si>
  <si>
    <t>Isaias 1-39</t>
  </si>
  <si>
    <t>https://www.youtube.com/live/zuY9JDgY2Hs?si=gQ4RqUxldt5_D9Sf</t>
  </si>
  <si>
    <t>Isaias 40-55</t>
  </si>
  <si>
    <t>https://www.youtube.com/live/zuY9JDgY2Hs?si=yQz5c0xFP8OFDcUt</t>
  </si>
  <si>
    <t>Isaias 56-66</t>
  </si>
  <si>
    <t>https://www.youtube.com/live/eHhoXbxXrc0?si=d6T3X1J_p42pkVbI</t>
  </si>
  <si>
    <t>Isaias - profecias sobre o Messias</t>
  </si>
  <si>
    <t>https://www.youtube.com/live/Y2A1LBDZ8KQ?si=HxC-EptZnpbzsmaJ</t>
  </si>
  <si>
    <t>Deus aceita o arrependimento de um povo - Ezequias e Josias</t>
  </si>
  <si>
    <t>2 Crônicas 29; 34–35</t>
  </si>
  <si>
    <t>NT</t>
  </si>
  <si>
    <t>https://www.youtube.com/live/UD7ocT3vEzM?si=XxU5EHtd8hnXnuOU</t>
  </si>
  <si>
    <t>Nação dividida: o Reino do Sul</t>
  </si>
  <si>
    <t>Deus declara um novo pacto - Jeremias, Profeta de Judá</t>
  </si>
  <si>
    <t>Jeremias</t>
  </si>
  <si>
    <t>https://www.youtube.com/live/Ax65ZfJvArc?si=2uSvq_jjRVi528v6</t>
  </si>
  <si>
    <t>Deus disciplina um povo rebelde – Judá é feito cativo</t>
  </si>
  <si>
    <t>2 Crônicas 36</t>
  </si>
  <si>
    <t>https://www.youtube.com/live/EFIAVz1DY4w?si=5vPMkTarhPl2CPnc</t>
  </si>
  <si>
    <t>A visão dos ossos secos</t>
  </si>
  <si>
    <t>Ezequiel 37</t>
  </si>
  <si>
    <t>https://www.youtube.com/live/OnTi883AJ0M?si=11PmVVENxwwvF4ZM</t>
  </si>
  <si>
    <t>Um povo restaurado - Esperança no Exílio</t>
  </si>
  <si>
    <t>A presença de Deus sustenta seu povo: a fornalha ardente</t>
  </si>
  <si>
    <t>Daniel 1 a 3</t>
  </si>
  <si>
    <t>https://www.youtube.com/live/uPiL5CWogRw?si=fK0Jb7iMkg9Co6gy</t>
  </si>
  <si>
    <t>A autoridade de Deus sustenta seu povo – O sonho de Nabucodonosor
A proteção de Deus sustenta seu povo - Daniel na cova dos leões</t>
  </si>
  <si>
    <t>Daniel 4 a 6</t>
  </si>
  <si>
    <t>https://www.youtube.com/live/kRNvhVVWxUQ?si=hGRchO9GTFFEgfJ3</t>
  </si>
  <si>
    <t>As promessas de Deus sustentam seu povo – O sonho de Daniel</t>
  </si>
  <si>
    <t>Daniel 7-12</t>
  </si>
  <si>
    <t>https://www.youtube.com/live/tVcaZ7AdCUo?si=E6zkbBQjOrxSDAxn</t>
  </si>
  <si>
    <t>A visão da justiça futura – Obadias, o profeta</t>
  </si>
  <si>
    <t>Obadias</t>
  </si>
  <si>
    <t>https://www.youtube.com/live/anDcZf9U2uw?si=4h0P7qVapm70JwwK</t>
  </si>
  <si>
    <t>O Retorno dos Exilados - Os cativos chegaram a casa</t>
  </si>
  <si>
    <t>Esdras 1–3</t>
  </si>
  <si>
    <t>https://www.youtube.com/live/BBGcTqWkAaw?si=r9AoXbpxkME3rHom</t>
  </si>
  <si>
    <t>Retorno à Terra</t>
  </si>
  <si>
    <t>A reconstrução do templo - O templo foi reconstruído</t>
  </si>
  <si>
    <t>Esdras 4–6, Ageu</t>
  </si>
  <si>
    <t>https://www.youtube.com/live/Fu1hplCGJQQ?si=IRjL6N-pJRZ_5oKc</t>
  </si>
  <si>
    <t>A promessa de um rei que vem – Zacarias, o profeta</t>
  </si>
  <si>
    <t>Zacarias</t>
  </si>
  <si>
    <t>https://www.youtube.com/live/2fYOWG7PRpM?si=Lgtl-F2xSwJYDN--</t>
  </si>
  <si>
    <t>Celebrando o livramento do Senhor</t>
  </si>
  <si>
    <t>Ester parte 1</t>
  </si>
  <si>
    <t>https://www.youtube.com/live/UB4p-UzDnAE?si=F_C-7J7IA_IQfhQa</t>
  </si>
  <si>
    <t>Ester parte 2</t>
  </si>
  <si>
    <t>https://www.youtube.com/live/rgmhoqxs_RQ?si=L5wmwbDuW9N-dSQt</t>
  </si>
  <si>
    <t>Deus protege seu povo através de um copeiro – As muralhas reconstruídas</t>
  </si>
  <si>
    <t>Neemias 1–7</t>
  </si>
  <si>
    <t>https://www.youtube.com/live/rgmhoqxs_RQ?si=AUHWgfUa9EfZRRQZ</t>
  </si>
  <si>
    <t>Deus revive seu povo através de um escriba – O povo de Deus se arrepende</t>
  </si>
  <si>
    <t>Neemias 8–13</t>
  </si>
  <si>
    <t>https://www.youtube.com/live/3yGr8RjlwDY?si=52xXIUfijxTMrNap</t>
  </si>
  <si>
    <t xml:space="preserve">O povo restaurado </t>
  </si>
  <si>
    <t>Deus adverte seu povo através de um profeta</t>
  </si>
  <si>
    <t>Malaquias</t>
  </si>
  <si>
    <t>https://www.youtube.com/live/ob1hQ0HRVAE?si=wCoaAE_iJY-GSn2R</t>
  </si>
  <si>
    <t>Introdução aos Evangelhos</t>
  </si>
  <si>
    <t>https://www.youtube.com/live/FIY-L9asHgc?si=LJw9Hho6BIpiiXn-</t>
  </si>
  <si>
    <t>O evangelho do reino</t>
  </si>
  <si>
    <t>https://www.youtube.com/live/PgZsBnQ9Yec?si=UyUEz1BX0-TECWqG</t>
  </si>
  <si>
    <t>Uma série dos primeiros milagres:
Ele controla o universo físico;
Ele controla o reino dos espíritos malignos;
Ele controla o reino dos mortos.</t>
  </si>
  <si>
    <t xml:space="preserve">Mt 8 e 9; Mc 1.14-3.35; Lc 5.12-39; 7.1-10; 4.38-39; 9.57-62; 8.22-39; </t>
  </si>
  <si>
    <t>https://www.youtube.com/live/ipa0G0CpHVg?si=ykaCvGkliouIYyQe</t>
  </si>
  <si>
    <t>Ministério de Jesus</t>
  </si>
  <si>
    <t>O nascimento de Jesus (circuncisão, apresentação no templo, visita à Jerusalém e crescimento em estatura e graça)</t>
  </si>
  <si>
    <t>Lc 2; Mt 1.18-25 e Mt 2</t>
  </si>
  <si>
    <t>https://www.youtube.com/live/sPNP1tCdaoo?si=x1MVuhHowfbI_Dtl</t>
  </si>
  <si>
    <t>A superioridade de Cristo</t>
  </si>
  <si>
    <t>Mt 12</t>
  </si>
  <si>
    <t>https://www.youtube.com/live/rohG4raREUU?si=PCE1tOYw78UJZHkf</t>
  </si>
  <si>
    <t>Lc 2.52</t>
  </si>
  <si>
    <t>O terceiro sermão de Jesus</t>
  </si>
  <si>
    <t>Mt 13.1-53
Mc 4.1-20, 30-34
Lc 8.4-15; 13.18-21</t>
  </si>
  <si>
    <t>https://www.youtube.com/live/R4ngTFJmZ2o?si=ssOVRJthdFJ2Zbnj</t>
  </si>
  <si>
    <t>A vinda do Reino</t>
  </si>
  <si>
    <t>Jesus volta a ser desafiado, mas mostra autoridade e caráter</t>
  </si>
  <si>
    <t>Mt 14 a 17
Mc 6.14-29, 45-56; 7.1-30; 8.1-21, 27-34; 9.32, 37-43
Lc 9.7-9, 18-45; 12.54-56
Jo 6.1-21</t>
  </si>
  <si>
    <t>https://www.youtube.com/live/cKx4GwEHEbE?si=GGvVlSjXlul_IyF1
https://www.youtube.com/live/eVCUkpP1W2s?si=x-Ao2VZbRCr8TpRp</t>
  </si>
  <si>
    <t>O quarto discurso</t>
  </si>
  <si>
    <t>Mt 18
Mc 9.33-37; 42-48
Lc 9.46-48; 15.3-7; 17.1-4</t>
  </si>
  <si>
    <t>https://www.youtube.com/live/9gPgnIGgmsg?si=p5wLZ1lAsCcDA_uo</t>
  </si>
  <si>
    <t>O 5o discurso</t>
  </si>
  <si>
    <t>Mt 19 a 25
Mc 10.1-52; 11.1-14, 15-4, 27-33; 12.1-40; 13.3-37
Lc 10.25-28; 11.37-52; 12.41-48; 13.34-35; 14.15-24; 17.26-36; 18.15-43; 19.11-40; 20.1-48; 21.7-33
Jo 2.13-22; 12.12-19</t>
  </si>
  <si>
    <t>https://www.youtube.com/live/jx_0-DhFX4o?si=Glz50lSx-fE4787H</t>
  </si>
  <si>
    <t>Paixão e Ressurreição</t>
  </si>
  <si>
    <t>Mt 26 a 28
Mc 14, 15 e 16
Lc 22, 23 e 24
Jo 11.45-53; 12.1-8; 13.21-30, 36-38; 18; 19; 20.1-10
At 1.6-8
1 Co 11.23-25</t>
  </si>
  <si>
    <t>https://www.youtube.com/live/714d6ydDanA?si=X3Zl5HGzVWGMFAtj</t>
  </si>
  <si>
    <t xml:space="preserve">A palavra do Senhor em Jerusalém </t>
  </si>
  <si>
    <t>Transformados pelo Espírito Santo</t>
  </si>
  <si>
    <t>Atos 1 a 4</t>
  </si>
  <si>
    <t>https://www.youtube.com/live/R5imEu3J-fQ?si=ODtcOEnvcZA9H-lN</t>
  </si>
  <si>
    <t>Vida Comum na Igreja
Curas, Pregação e Perseguição</t>
  </si>
  <si>
    <t>Atos 4:32–5:42</t>
  </si>
  <si>
    <t>https://www.youtube.com/live/ujy_Ds1Ebqg?si=V_gdDMvCh0b6YnuY</t>
  </si>
  <si>
    <t>O sermão de Estêvão</t>
  </si>
  <si>
    <t>Atos 6 e 7</t>
  </si>
  <si>
    <t>https://www.youtube.com/live/R-BMFGnF6TA?si=yGBjch_GwQxaq47o</t>
  </si>
  <si>
    <t>O testemunho de Filipe fora de Jerusalém</t>
  </si>
  <si>
    <t>Atos 8</t>
  </si>
  <si>
    <t>https://www.youtube.com/live/8TMVgdnePOk?si=acTh4VGvINJSJhuL</t>
  </si>
  <si>
    <t xml:space="preserve">A palavra do Senhor se espalha na Judéia e Samaria </t>
  </si>
  <si>
    <t>A conversão de Saulo</t>
  </si>
  <si>
    <t>Atos 9</t>
  </si>
  <si>
    <t>https://www.youtube.com/live/r7DoYteELNU?si=mlmrskFLgxpZ71ui</t>
  </si>
  <si>
    <t>A igreja é enviada a todos (Pedro e Cornélio) + Barnabé em Antioquia</t>
  </si>
  <si>
    <t>Atos 10</t>
  </si>
  <si>
    <t>https://www.youtube.com/live/HJBGs9ZoN0U?si=r2eEbB0hA1y2Ja5P</t>
  </si>
  <si>
    <t>A igreja de Jerusalém é perseguida</t>
  </si>
  <si>
    <t>Atos 11 e 12</t>
  </si>
  <si>
    <t>https://www.youtube.com/live/7eUyY3LW4cU?si=lsIkF4KlBj4xlskF</t>
  </si>
  <si>
    <t xml:space="preserve">A palavra do Senhor até os confins da Terra - parte 1 </t>
  </si>
  <si>
    <t>A primeira viagem missionária de Paulo</t>
  </si>
  <si>
    <t>Atos 13 a 14</t>
  </si>
  <si>
    <t>https://www.youtube.com/live/2lk6bdvZY6M?si=MGsBXHCPJ6xGG_Hz</t>
  </si>
  <si>
    <t>O Concílio de Jerusalém</t>
  </si>
  <si>
    <t>Atos 15.1-35</t>
  </si>
  <si>
    <t>https://www.youtube.com/live/XlER26E4EbM?si=r-TNYsjiypwkNdlE</t>
  </si>
  <si>
    <t>A segunda viagem missionária de Paulo</t>
  </si>
  <si>
    <t>Atos 15.36 a 18.23</t>
  </si>
  <si>
    <t>https://www.youtube.com/live/kWiE3mXSI7U?si=AWRccokocLe4Ykc_</t>
  </si>
  <si>
    <t>A igreja é unida pela esperança</t>
  </si>
  <si>
    <t>1 e 2 Tessalonissences/Gálatas</t>
  </si>
  <si>
    <t>https://www.youtube.com/live/etHdrTCNBN4?si=lyw_gAyM0Fsd70nJ</t>
  </si>
  <si>
    <t>A terceira viagem missionária de Paulo</t>
  </si>
  <si>
    <t>Atos 18 a 21</t>
  </si>
  <si>
    <t>https://www.youtube.com/live/baq7MH0DN9I?si=mtQsv2hIbvI-hZYA</t>
  </si>
  <si>
    <t>A palavra do Senhor em Moçambique</t>
  </si>
  <si>
    <t>Aula especial - Missionários IPBF</t>
  </si>
  <si>
    <t>https://www.youtube.com/live/ZMirklbam1E?si=V6ilgv7RijiHq07c</t>
  </si>
  <si>
    <t>A palavra do Senhor até os confins da Terra - parte 2</t>
  </si>
  <si>
    <t>A igreja é unida pelo Evangelho</t>
  </si>
  <si>
    <t>1 Coríntios 1 a 6</t>
  </si>
  <si>
    <t>https://www.youtube.com/live/VSXoy-bXXXk?si=x6VTi5gMlSHRgtxs</t>
  </si>
  <si>
    <t>Correções e instruções</t>
  </si>
  <si>
    <t>1 Coríntios 7 a 11</t>
  </si>
  <si>
    <t>https://www.youtube.com/live/HAyssVWfJbA?si=6xATnDVSMdwCawMA</t>
  </si>
  <si>
    <t>Se não tiver amor, de nada valerá</t>
  </si>
  <si>
    <t>1 Coríntios 12 a 14</t>
  </si>
  <si>
    <t>https://www.youtube.com/live/GAdi-oVgQa8?si=v3zJJ-a3T1Gb85zy</t>
  </si>
  <si>
    <t>O poder do Espírito para nos transformar</t>
  </si>
  <si>
    <t>2 Coríntios 1 a 9</t>
  </si>
  <si>
    <t>https://www.youtube.com/live/brYSS0TTcy8?si=cshC3_z25CpQP5T_</t>
  </si>
  <si>
    <t>Guardando o evangelho</t>
  </si>
  <si>
    <t>2 Coríntios 10 a 13</t>
  </si>
  <si>
    <t>https://www.youtube.com/live/vqgbOQVa9Qw?si=yCY7wbCbOSoztTEk</t>
  </si>
  <si>
    <t>Confiando no evangelho - perdição e justiça</t>
  </si>
  <si>
    <t>Romanos 1 a 5</t>
  </si>
  <si>
    <t>https://www.youtube.com/live/bZPg5RxR2q0?si=91rKvRz47_YPoQgN</t>
  </si>
  <si>
    <t>Confiando no Evangelho - santificação (6 a 8) e escatologia (9 a 11)</t>
  </si>
  <si>
    <t>Romanos 6 a 11</t>
  </si>
  <si>
    <t>https://www.youtube.com/live/wmFVgFMsKUo?si=HdCMd8rNDzDrcHy0</t>
  </si>
  <si>
    <t>Confiando no Evangelho - orientações práticas para a vida da igreja</t>
  </si>
  <si>
    <t>Romanos 12 a 16</t>
  </si>
  <si>
    <t>https://www.youtube.com/live/p1DE0UKYqQg?si=xvRgAonOSpETt3KK</t>
  </si>
  <si>
    <t>Pregando em todas as circunstâncias</t>
  </si>
  <si>
    <t>Atos 22 a 26</t>
  </si>
  <si>
    <t>https://www.youtube.com/live/hZaf1PjrUns?si=EuA4jQYNrWogdOly</t>
  </si>
  <si>
    <t>A viagem de Paulo a Roma</t>
  </si>
  <si>
    <t>Atos 27 e 28</t>
  </si>
  <si>
    <t>https://www.youtube.com/live/S_tanpf6mn0?si=n-5nluomx_uEAgK4</t>
  </si>
  <si>
    <t>Perseguindo o alvo</t>
  </si>
  <si>
    <t>Filipenses 3</t>
  </si>
  <si>
    <t>https://www.youtube.com/live/PFnOzYZUYKQ?si=l7x-hnhOpQkx8s06</t>
  </si>
  <si>
    <t>Experimentando uma nova identidade no evangelho de Jesus</t>
  </si>
  <si>
    <t>Colossenses 2 e 3</t>
  </si>
  <si>
    <t>https://www.youtube.com/live/EVQcZ9cVH4M?si=tJID3hIcR6_KaaU2</t>
  </si>
  <si>
    <t>Vivendo na graça</t>
  </si>
  <si>
    <t>Filemon</t>
  </si>
  <si>
    <t>https://www.youtube.com/live/tvPw2DS9FgU?si=t6HIp-n-033QwD2T</t>
  </si>
  <si>
    <t>Quebrando barreiras</t>
  </si>
  <si>
    <t>Efésios 2 a 4</t>
  </si>
  <si>
    <t>https://www.youtube.com/live/A8NY4hZvI60?si=KfGjA2R2I9p348aV</t>
  </si>
  <si>
    <t>Cartas pastorais</t>
  </si>
  <si>
    <t>Tito</t>
  </si>
  <si>
    <t>https://www.youtube.com/live/8vuWx2g3QS0?si=AU8-eepLl-yT_BSI</t>
  </si>
  <si>
    <t>1 Tm</t>
  </si>
  <si>
    <t>https://www.youtube.com/live/pYBLTmT86sQ?si=hsrCz7rHQYMRvZwe</t>
  </si>
  <si>
    <t>2 Tm (Revisão para as crianças em 15/10)</t>
  </si>
  <si>
    <t>https://www.youtube.com/live/DuOKYCKUNMI?si=dguMzzp63ohGkA_K</t>
  </si>
  <si>
    <t>Confiando em tempos difíceis</t>
  </si>
  <si>
    <t>1 e 2 Pedro + Judas</t>
  </si>
  <si>
    <t>https://www.youtube.com/live/vGGViJok5Ek?si=XIsTi7Stm5tqpoRy</t>
  </si>
  <si>
    <t>Buscando uma vida com Deus</t>
  </si>
  <si>
    <t>Tiago</t>
  </si>
  <si>
    <t>https://www.youtube.com/live/oDd_Xc-veac?si=j0wOOfSigNlZy0X_</t>
  </si>
  <si>
    <t>A igreja é enviada para proclamar a Jesus</t>
  </si>
  <si>
    <t>Hebreus</t>
  </si>
  <si>
    <t>https://www.youtube.com/live/AxonUKB6_yI?si=UJ5TKuxmGrKGfYSn</t>
  </si>
  <si>
    <t>Como interpretar o Apocalipse</t>
  </si>
  <si>
    <t>Apocalipse</t>
  </si>
  <si>
    <t>https://www.youtube.com/live/4WZGNtJPAwQ?si=XaBetaD45o3sU3NA</t>
  </si>
  <si>
    <t>As marcas daqueles que têm comunhão com Deus - 1 João
Não seja hospitaleiro com aqueles que rejeitam a verdade - 2 João
Seja hospitaleiro com aqueles que proclamam a verdade - 3 João</t>
  </si>
  <si>
    <t>1, 2 e 3 João</t>
  </si>
  <si>
    <t>https://www.youtube.com/live/YT9TqxOmaX8?si=0rlfNm1hah7tGDVr</t>
  </si>
  <si>
    <t>Consumação</t>
  </si>
  <si>
    <t>A Redenção resgata seu povo (As cartas)</t>
  </si>
  <si>
    <t>Apocalipse 1 a 3</t>
  </si>
  <si>
    <t>https://www.youtube.com/live/f64v3CeeKjw?si=VeHkkszHCd-G0l9n</t>
  </si>
  <si>
    <t>O Redentor é adorado (Música "Perante o trono do alto céu")</t>
  </si>
  <si>
    <t>Apocalipse 4 e 5</t>
  </si>
  <si>
    <t>https://www.youtube.com/live/U0QHIXPnqdM?si=58Ai0jfTfJyV2hwg</t>
  </si>
  <si>
    <t>O Redentor voltará</t>
  </si>
  <si>
    <t>Apocalipse 19 a 22</t>
  </si>
  <si>
    <t>https://www.youtube.com/live/d3CZcIk1AzQ?si=1dgKXIYQOztzP_O6</t>
  </si>
  <si>
    <t>Combate ao gnosticismo</t>
  </si>
  <si>
    <t>A</t>
  </si>
  <si>
    <t>Formatura</t>
  </si>
  <si>
    <t>https://www.youtube.com/live/HgDGInhh-Ws?si=7Siu6NmJ_DNnXMcQ</t>
  </si>
  <si>
    <t>Natal</t>
  </si>
  <si>
    <t>Ano Novo</t>
  </si>
  <si>
    <t xml:space="preserve"> </t>
  </si>
  <si>
    <t>Ano</t>
  </si>
  <si>
    <t>#</t>
  </si>
  <si>
    <t>Adultos</t>
  </si>
  <si>
    <t>Data</t>
  </si>
  <si>
    <t>Crianças</t>
  </si>
  <si>
    <t>Ref. Bíblica</t>
  </si>
  <si>
    <t>Módulos</t>
  </si>
  <si>
    <t>Observações</t>
  </si>
  <si>
    <t>Música</t>
  </si>
  <si>
    <t>Salmo - introdução e livro 1</t>
  </si>
  <si>
    <t>Salmos - introdução e livro 1</t>
  </si>
  <si>
    <t>Salmos</t>
  </si>
  <si>
    <t>Cante a Palavra - Sl 23</t>
  </si>
  <si>
    <t>Salmo - livro 2</t>
  </si>
  <si>
    <t>Salmos - livro 1</t>
  </si>
  <si>
    <t>Salmos 1–41</t>
  </si>
  <si>
    <t>Salmo - livro 3</t>
  </si>
  <si>
    <t>Salmos - livro 2</t>
  </si>
  <si>
    <t>Salmos 42–72</t>
  </si>
  <si>
    <t>Salmo - livro 4</t>
  </si>
  <si>
    <t>Salmos - livro 3</t>
  </si>
  <si>
    <t>Salmos 73–89</t>
  </si>
  <si>
    <t>Salmo - livro 5</t>
  </si>
  <si>
    <t>Salmos - livro 4</t>
  </si>
  <si>
    <t>Salmos 90–106</t>
  </si>
  <si>
    <t>Criação</t>
  </si>
  <si>
    <t>Salmos - livro 5 (Feriado de Carnaval)</t>
  </si>
  <si>
    <t>Salmos 107–150</t>
  </si>
  <si>
    <t>Cante a Palavra -  Sl 119.11, 105; Sl 122.1; Sl 138.1</t>
  </si>
  <si>
    <t>Queda</t>
  </si>
  <si>
    <t>Gn 1-2</t>
  </si>
  <si>
    <t>Toledot 1</t>
  </si>
  <si>
    <t xml:space="preserve">Dilúvio </t>
  </si>
  <si>
    <t>Gn 3-4</t>
  </si>
  <si>
    <t>Falar de Caim e Abel para as crianças (a queda já é um CP)</t>
  </si>
  <si>
    <t>Torre de Babel</t>
  </si>
  <si>
    <t>Gn 6-9</t>
  </si>
  <si>
    <t>Gn 5 = Toledot 2 (genealogia de Adão) e Gn 6.9 = Toledot 3 (Noé)</t>
  </si>
  <si>
    <t>Aliança com Abraão</t>
  </si>
  <si>
    <t>Gn 11</t>
  </si>
  <si>
    <t>Gn 10 = Toledot 4 (genealogia de Sem, Cam e Jafé) + Gn 11.10 = Toledot 5 (gerações de Sem) + Gn 11.27 = Toledot 6 (gerações deTera)</t>
  </si>
  <si>
    <t>O nascimento de Isaque</t>
  </si>
  <si>
    <t>Gn 12;15;17</t>
  </si>
  <si>
    <t>Domingo de Páscoa</t>
  </si>
  <si>
    <t>Gn 21-22; Hb 11.17-19</t>
  </si>
  <si>
    <t>O casamento de Isaque</t>
  </si>
  <si>
    <t>Esaú e Jacó (nascimento e conflito)</t>
  </si>
  <si>
    <t>Gn 24</t>
  </si>
  <si>
    <t>Os casamentos de Jacó</t>
  </si>
  <si>
    <t>Gn 25.19 - 28</t>
  </si>
  <si>
    <t>Toledot 7 e 8</t>
  </si>
  <si>
    <t>Esaú e Jacó (reconciliação)</t>
  </si>
  <si>
    <t>Gn 29-31</t>
  </si>
  <si>
    <t>José vai para  Egito</t>
  </si>
  <si>
    <t>Gn 32, 33 e 35</t>
  </si>
  <si>
    <t>Toledot 9 = Gn 36 (descendentes de Esaú)</t>
  </si>
  <si>
    <t>José no Egito</t>
  </si>
  <si>
    <t>Gn 37, 39</t>
  </si>
  <si>
    <t>Toledot 10</t>
  </si>
  <si>
    <t>Família de José vai ao Egito</t>
  </si>
  <si>
    <t>Gn 40-41</t>
  </si>
  <si>
    <t>Interpreta sonhos</t>
  </si>
  <si>
    <t>Nascimento e chamado de Moisés</t>
  </si>
  <si>
    <t>Gn 42-50</t>
  </si>
  <si>
    <t>Diante de Faraó - 10 pragas</t>
  </si>
  <si>
    <t>Ex 1 - 4</t>
  </si>
  <si>
    <t>Saída do Egito (libertação)</t>
  </si>
  <si>
    <t>Ex 5-12.36</t>
  </si>
  <si>
    <t>Travessia do Mar Vermelho (livres para adorar)</t>
  </si>
  <si>
    <t>Ex 12.37-13</t>
  </si>
  <si>
    <t>A saída dos israelitas do Egito; Instruções sobre a Páscoa; A consagração dos primogênitos, festa dos pães em fermento e Deus guia o povo pelo caminho</t>
  </si>
  <si>
    <t>Sustento no deserto - o Maná (providência)</t>
  </si>
  <si>
    <t>Ex 14-15</t>
  </si>
  <si>
    <t>Ap 15.3; Sl 118.14; Is 12.2</t>
  </si>
  <si>
    <t>Cante a Palavra - Ex 15.21</t>
  </si>
  <si>
    <t>A visita de Jetro a Moisés (governo)</t>
  </si>
  <si>
    <t>Ex 15.22-17</t>
  </si>
  <si>
    <t>Os 10 mandamentos (Lei) - parte 1</t>
  </si>
  <si>
    <t>Ex 18</t>
  </si>
  <si>
    <t>presbiterato</t>
  </si>
  <si>
    <t>Os 10 mandamentos (Lei) - parte 2</t>
  </si>
  <si>
    <t>Ex 19-20 + Dt 6.26</t>
  </si>
  <si>
    <t>Aliança mosaica; Mandamentos 1 a 4</t>
  </si>
  <si>
    <t>O Bezerro de Ouro (idolatria)</t>
  </si>
  <si>
    <t>Aliança mosaica; Mandamentos 5 a 10</t>
  </si>
  <si>
    <t>O Tabernáculo (presença de Deus) - parte 1</t>
  </si>
  <si>
    <t>O Tabernáculo (presença de Deus) - parte 2</t>
  </si>
  <si>
    <t>Ex 35-40</t>
  </si>
  <si>
    <t>Adoração no deserto</t>
  </si>
  <si>
    <t>instrução</t>
  </si>
  <si>
    <t>Regras para o Sacrifício</t>
  </si>
  <si>
    <t>execução</t>
  </si>
  <si>
    <t>Lv</t>
  </si>
  <si>
    <t>Expiação - Lv 16</t>
  </si>
  <si>
    <t>A Cobra de Bronze</t>
  </si>
  <si>
    <t>Introdução ao livro de Números + Nm 13-14</t>
  </si>
  <si>
    <t>Vagando no deserto</t>
  </si>
  <si>
    <t>Cante a Palavra - Nm 23.19</t>
  </si>
  <si>
    <t>A morte de Moisés</t>
  </si>
  <si>
    <t>A promessa da provisão de Deus</t>
  </si>
  <si>
    <t>Travessia do Jordão</t>
  </si>
  <si>
    <t>A promessa da presença de Deus</t>
  </si>
  <si>
    <t>A batalha de Jericó</t>
  </si>
  <si>
    <t>Conquistando a terra prometida</t>
  </si>
  <si>
    <t>O Chamado à Coragem</t>
  </si>
  <si>
    <t>Cantata Os heróis</t>
  </si>
  <si>
    <t>Ciclos de Rebelião - Débora e Baraque</t>
  </si>
  <si>
    <t>Cantata Os heróis; Cante a Palavra - Js 24.15</t>
  </si>
  <si>
    <t>Ciclos de Rebelião - Gideão</t>
  </si>
  <si>
    <t>Juízes 1-5</t>
  </si>
  <si>
    <t>O ciclo de Juízes</t>
  </si>
  <si>
    <t>A infidelidade de Israel</t>
  </si>
  <si>
    <t>Ciclos de Rebelião - Sansão</t>
  </si>
  <si>
    <t>A fraqueza de um salvador</t>
  </si>
  <si>
    <t>Rute e Boaz</t>
  </si>
  <si>
    <t>A humilhação do orgulhoso</t>
  </si>
  <si>
    <t>O chamado de Samuel como profeta</t>
  </si>
  <si>
    <t>A Esperança da Redenção</t>
  </si>
  <si>
    <t>Os preparativos para o reino</t>
  </si>
  <si>
    <t>Os filisteus vencem os israelitas</t>
  </si>
  <si>
    <t>Queda de Saul</t>
  </si>
  <si>
    <t>Ascensão e queda de Saul</t>
  </si>
  <si>
    <t>O reinado de Davi - parte 1</t>
  </si>
  <si>
    <t>O reinado de Davi - parte 2</t>
  </si>
  <si>
    <t>1 Sm 16 em diante</t>
  </si>
  <si>
    <t>O reinado de Davi</t>
  </si>
  <si>
    <t>O reinado de Salomão - parte 1</t>
  </si>
  <si>
    <t>2 Sm</t>
  </si>
  <si>
    <t>O reinado de Salomão - parte 2</t>
  </si>
  <si>
    <t>1 Rs 1-4</t>
  </si>
  <si>
    <t>O reinado de Salomão</t>
  </si>
  <si>
    <t>Salomão pede sabedoria</t>
  </si>
  <si>
    <t>Reino dividido - parte 1</t>
  </si>
  <si>
    <t>1 Rs 6-8</t>
  </si>
  <si>
    <t>Salomão constrói o templo</t>
  </si>
  <si>
    <t>Eclesiastes</t>
  </si>
  <si>
    <t>1 Rs 11-12</t>
  </si>
  <si>
    <t>Divisão do reino</t>
  </si>
  <si>
    <t>Morte de Salomão</t>
  </si>
  <si>
    <t>Livros poéticos e de Sabedoria</t>
  </si>
  <si>
    <t>Cantares</t>
  </si>
  <si>
    <t>962 aC</t>
  </si>
  <si>
    <t>Revisão</t>
  </si>
  <si>
    <t>Feriado de Carnaval</t>
  </si>
  <si>
    <t>Reino dividido - parte 2 (de Jeroboão a Baasa)</t>
  </si>
  <si>
    <t>1 Rs 13-16</t>
  </si>
  <si>
    <t>Reino do Norte</t>
  </si>
  <si>
    <t>2 Reis 3-10</t>
  </si>
  <si>
    <t>Amós</t>
  </si>
  <si>
    <t>O julgamento por meio dos Assírios</t>
  </si>
  <si>
    <t>Oseias</t>
  </si>
  <si>
    <t>Miqueias</t>
  </si>
  <si>
    <t>O chamado de Isaias</t>
  </si>
  <si>
    <t>Isaias</t>
  </si>
  <si>
    <t>A mensagem de Isaias</t>
  </si>
  <si>
    <t>Jeroboão II</t>
  </si>
  <si>
    <t>2 Reis 14</t>
  </si>
  <si>
    <t>O julgamento por meio dos Babilônios</t>
  </si>
  <si>
    <t>De Roboão a Acaz</t>
  </si>
  <si>
    <t>2 Rs 16</t>
  </si>
  <si>
    <t>Reino do Sul</t>
  </si>
  <si>
    <t>Ezequias</t>
  </si>
  <si>
    <t>2 Rs 18</t>
  </si>
  <si>
    <t>Josias - Reforma do templo</t>
  </si>
  <si>
    <t>O cativeiro Assírio</t>
  </si>
  <si>
    <t>Naum</t>
  </si>
  <si>
    <t>Sofonias</t>
  </si>
  <si>
    <t xml:space="preserve"> Jeremias, Profeta de Judá</t>
  </si>
  <si>
    <t>Habacuque</t>
  </si>
  <si>
    <t>Judá é feito cativo</t>
  </si>
  <si>
    <t>Ezequiel</t>
  </si>
  <si>
    <t>Esperança no exílio</t>
  </si>
  <si>
    <t>A fornalha ardente</t>
  </si>
  <si>
    <t>Daniel 1 e 3</t>
  </si>
  <si>
    <t>O sonho de Nabucodonosor</t>
  </si>
  <si>
    <t>Daniel 2</t>
  </si>
  <si>
    <t>A autoridade de Deus sustenta seu povo – O sonho de Nabucodonosor</t>
  </si>
  <si>
    <t>Daniel na cova dos leões</t>
  </si>
  <si>
    <t>Daniel 4</t>
  </si>
  <si>
    <t>A proteção de Deus sustenta seu povo - Daniel na cova dos leões</t>
  </si>
  <si>
    <t>A visão de Daniel</t>
  </si>
  <si>
    <t>O Retorno dos Exilados</t>
  </si>
  <si>
    <t>Retorno à terra</t>
  </si>
  <si>
    <t>A reconstrução do templo</t>
  </si>
  <si>
    <t>Ester</t>
  </si>
  <si>
    <t>O povo restaurado</t>
  </si>
  <si>
    <t>Jó</t>
  </si>
  <si>
    <t>Período intertestamentário</t>
  </si>
  <si>
    <t>Nascimento de Jesus</t>
  </si>
  <si>
    <t>Mt 1 e 2</t>
  </si>
  <si>
    <t>O ministério de Jesus - parte 1</t>
  </si>
  <si>
    <t>Mateus</t>
  </si>
  <si>
    <t>Marcos</t>
  </si>
  <si>
    <t>Lucas</t>
  </si>
  <si>
    <t>João</t>
  </si>
  <si>
    <t>Cante a Palavra - João 5.39; Jo 10.27-28; Jo 14.21</t>
  </si>
  <si>
    <t>O ministério de Jesus - parte 2</t>
  </si>
  <si>
    <t>A ressurreição</t>
  </si>
  <si>
    <t>At 1-4</t>
  </si>
  <si>
    <t>A palavra do Senhor em Jerusalém</t>
  </si>
  <si>
    <t>At 4-5</t>
  </si>
  <si>
    <t>At 6-7</t>
  </si>
  <si>
    <t>At 9</t>
  </si>
  <si>
    <t>A palavra do Senhor na Judeia e Samaria</t>
  </si>
  <si>
    <t>At 10 -11</t>
  </si>
  <si>
    <t>At 12</t>
  </si>
  <si>
    <t>At 13-14</t>
  </si>
  <si>
    <t>A palavra do Senhor até os confins da Terra - parte 1</t>
  </si>
  <si>
    <t>At 15</t>
  </si>
  <si>
    <t>At 15-18</t>
  </si>
  <si>
    <t>Gl</t>
  </si>
  <si>
    <t>Cante a Palavra - Gl 5.22-23</t>
  </si>
  <si>
    <t>1  e 2 Ts</t>
  </si>
  <si>
    <t>At 18-21</t>
  </si>
  <si>
    <t>1 Co 1-6</t>
  </si>
  <si>
    <t>1 Co 7-16</t>
  </si>
  <si>
    <t>2 Co 1 -9</t>
  </si>
  <si>
    <t>2 Co 10-13</t>
  </si>
  <si>
    <t>Rm 1-5</t>
  </si>
  <si>
    <t>Cante a Palavra - Rm 5.1</t>
  </si>
  <si>
    <t>Rm 6-11</t>
  </si>
  <si>
    <t>Cante a Palavra - Rm10.9</t>
  </si>
  <si>
    <t>Rm 12-16</t>
  </si>
  <si>
    <t>At 22-26</t>
  </si>
  <si>
    <t>At 27-28</t>
  </si>
  <si>
    <t>Fl</t>
  </si>
  <si>
    <t>Cartas da prisão</t>
  </si>
  <si>
    <t>Cante a Palavra - Fl 1.5; Fl 2.14-15; Fl 4.11-13</t>
  </si>
  <si>
    <t>Cl</t>
  </si>
  <si>
    <t>Cante a Palavra - Cl 3.17</t>
  </si>
  <si>
    <t>Ef</t>
  </si>
  <si>
    <t>Tt</t>
  </si>
  <si>
    <t>1 e 2 Tm</t>
  </si>
  <si>
    <t>Cante a Palavra - 2 Tm 2.15</t>
  </si>
  <si>
    <t>1 Pe</t>
  </si>
  <si>
    <t>Cartas gerais</t>
  </si>
  <si>
    <t>2 Pe e Judas</t>
  </si>
  <si>
    <t>Hb</t>
  </si>
  <si>
    <t>Cartas Joaninas</t>
  </si>
  <si>
    <t>Cristo e os sete candeeiros (Ap 1-3)</t>
  </si>
  <si>
    <t>Ap - seção 1</t>
  </si>
  <si>
    <t>O triunfo de Cristo no novo céu e na nova terra</t>
  </si>
  <si>
    <t>O Cordeiro e os sete selos (Ap 4-7)</t>
  </si>
  <si>
    <t>Ap - seção 2</t>
  </si>
  <si>
    <t>As sete trombetas (Ap 8-11)</t>
  </si>
  <si>
    <t>Ap - seção 3</t>
  </si>
  <si>
    <t>O dragão e as sete vozes (Ap 12-14)</t>
  </si>
  <si>
    <t>Ap - seção 4</t>
  </si>
  <si>
    <t xml:space="preserve">As sete taças (Ap 15-16) </t>
  </si>
  <si>
    <t>Ap - seção 5</t>
  </si>
  <si>
    <t>A destruição dos inimigos (Ap 17-19)</t>
  </si>
  <si>
    <t>Ap - seção 6</t>
  </si>
  <si>
    <t>As visões da consumação (Ap 20-22)</t>
  </si>
  <si>
    <t>Ap - seção 7</t>
  </si>
  <si>
    <t>Ex 19-20 + Dt 6 a 26</t>
  </si>
  <si>
    <t>Missões - rotação por estações</t>
  </si>
  <si>
    <t>ACAMP</t>
  </si>
  <si>
    <r>
      <t xml:space="preserve">Cronograma de aulas EBD IPBF - adultos e crianças </t>
    </r>
    <r>
      <rPr>
        <sz val="11"/>
        <rFont val="Calibri"/>
        <family val="2"/>
        <scheme val="minor"/>
      </rPr>
      <t>(observação: os adultos têm a aula sempre um domingo antes que as crianças)</t>
    </r>
  </si>
  <si>
    <t>Professor adultos</t>
  </si>
  <si>
    <t>Assembleia</t>
  </si>
  <si>
    <t>Reforma Protestante</t>
  </si>
  <si>
    <t>aula avulsa</t>
  </si>
  <si>
    <t>Calebe</t>
  </si>
  <si>
    <t>1 Sm 8 a 15</t>
  </si>
  <si>
    <t>1 Sm 16 a 24</t>
  </si>
  <si>
    <t>Guilherme</t>
  </si>
  <si>
    <t>Fim do reinado de Saul</t>
  </si>
  <si>
    <t>1 Sm 25 a 31</t>
  </si>
  <si>
    <t>Filipe</t>
  </si>
  <si>
    <t>2 Sm 1 a 10</t>
  </si>
  <si>
    <t>Luiz Alberto</t>
  </si>
  <si>
    <t>2 Sm 11 a 24</t>
  </si>
  <si>
    <t>Arthur</t>
  </si>
  <si>
    <t>Eclesiastes - introdução</t>
  </si>
  <si>
    <t>Introdução (crianças)</t>
  </si>
  <si>
    <t>até 6.9 (crianças)</t>
  </si>
  <si>
    <t>até 12.14 (crianças)</t>
  </si>
  <si>
    <t>O reinado de Salomão - Construção do templo (adultos - retomar a parte 1)</t>
  </si>
  <si>
    <t>Rafael Rocha</t>
  </si>
  <si>
    <t>Amós e Joel</t>
  </si>
  <si>
    <t>Ezequias e Josias - Reforma do templo</t>
  </si>
  <si>
    <t>Ester 1-5</t>
  </si>
  <si>
    <t>Ester 6-10</t>
  </si>
  <si>
    <t>(retirar) Período intertestamentário</t>
  </si>
  <si>
    <t>Neemias 8–14</t>
  </si>
  <si>
    <t>Mostra do conhecimento científico</t>
  </si>
  <si>
    <t>aula avulsa?</t>
  </si>
  <si>
    <t>Período Intertestamentário</t>
  </si>
  <si>
    <t>Introdução aos evangelhos</t>
  </si>
  <si>
    <t>Inauguração do ministério de Jesus - Batismo e tentação no deserto</t>
  </si>
  <si>
    <t>Mt 3 e 4; Mc 1; Lc 3 e 4; Jo 1</t>
  </si>
  <si>
    <t>1o discurso - O sermão do Monte</t>
  </si>
  <si>
    <t>Mateus 5 a 7 e Lucas 6.17-49</t>
  </si>
  <si>
    <t>Uma série dos primeiros milagres: Ele controla o universo físico; Ele controla o reino dos espíritos malignos; Ele controla o reino dos mortos.</t>
  </si>
  <si>
    <t>Mt 8 e 9; Mc 1.14-3.35; Lc 5.12-39; 7.1-10; 4.38-39; 9.57-62; 8.22-39</t>
  </si>
  <si>
    <t>Feriado de carnaval</t>
  </si>
  <si>
    <t>2o discurso - Missões</t>
  </si>
  <si>
    <t>Mt 9.35-38; Mt 10; Mc 3.13-19, 6.7; Lc 6.12-16 e 9.1-2</t>
  </si>
  <si>
    <t>Aula de revisão unificada</t>
  </si>
  <si>
    <t>Mt 11 e 12</t>
  </si>
  <si>
    <t>Mt 13.1-53 Mc 4.1-20, 30-34 Lc 8.4-15; 13.18-21</t>
  </si>
  <si>
    <t>Mt 14 a 17 Mc 6.14-29, 45-56; 7.1-30; 8.1-21, 27-34; 9.32, 37-43 Lc 9.7-9, 18-45; 12.54-56 Jo 6.1-21</t>
  </si>
  <si>
    <t>Mt 18 Mc 9.33-37; 42-48 Lc 9.46-48; 15.3-7; 17.1-4</t>
  </si>
  <si>
    <t>O quinto discurso</t>
  </si>
  <si>
    <t>Mt 19 a 25 Mc 10.1-52; 11.1-14, 15-4, 27-33; 12.1-40; 13.3-37 Lc 10.25-28; 11.37-52; 12.41-48; 13.34-35; 14.15-24; 17.26-36; 18.15-43; 19.11-40; 20.1-48; 21.7-33 Jo 2.13-22; 12.12-19</t>
  </si>
  <si>
    <t>Mt 26 a 28 Mc 14, 15 e 16 Lc 22, 23 e 24 Jo 11.45-53; 12.1-8; 13.21-30, 36-38; 18; 19; 20.1-10 At 1.6-8 1 Co 11.23-25</t>
  </si>
  <si>
    <t>Vagner</t>
  </si>
  <si>
    <t>Report Rev. Henrique</t>
  </si>
  <si>
    <t>A palavra do Senhor até os confins da Terra</t>
  </si>
  <si>
    <t>A palavra do Senhor até os confins da Terra - Parte 2</t>
  </si>
  <si>
    <t>Acampamento</t>
  </si>
  <si>
    <t>1 e 2 Pe e Judas</t>
  </si>
  <si>
    <t>Introdução ao Apocalipse</t>
  </si>
  <si>
    <t>Apocalipse - Aula 2</t>
  </si>
  <si>
    <t>Apocalipse - Aula 3</t>
  </si>
  <si>
    <t>Apocalipse - Aula 4</t>
  </si>
  <si>
    <t>aula dada</t>
  </si>
  <si>
    <t>Alianças</t>
  </si>
  <si>
    <t>Introdução ao NT/Evangelhos</t>
  </si>
  <si>
    <t xml:space="preserve">Mateus 5 a 7 e Lucas 6.17-49 </t>
  </si>
  <si>
    <t xml:space="preserve">aula avulsa </t>
  </si>
  <si>
    <t>Mt  11 e 12</t>
  </si>
  <si>
    <t>Atos -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</si>
</sst>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212121"/>
      <name val="Calibri"/>
      <family val="2"/>
    </font>
    <font>
      <sz val="11"/>
      <name val="Calibri"/>
      <family val="2"/>
    </font>
    <font>
      <b/>
      <sz val="10"/>
      <color rgb="FF21212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3" fillId="0" borderId="0" applyNumberFormat="0" applyFill="0" applyBorder="0" applyAlignment="0" applyProtection="0"/>
  </cellStyleXfs>
  <cellXfs count="283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6" fillId="0" borderId="0" xfId="2" applyFont="1" applyAlignment="1">
      <alignment vertical="center" wrapText="1"/>
    </xf>
    <xf numFmtId="0" fontId="6" fillId="2" borderId="0" xfId="2" applyFont="1" applyFill="1" applyAlignment="1">
      <alignment vertical="center" wrapText="1"/>
    </xf>
    <xf numFmtId="0" fontId="7" fillId="2" borderId="0" xfId="2" applyFont="1" applyFill="1" applyAlignment="1">
      <alignment vertical="center" wrapText="1"/>
    </xf>
    <xf numFmtId="0" fontId="7" fillId="0" borderId="0" xfId="2" applyFont="1" applyAlignment="1">
      <alignment vertical="center" wrapText="1"/>
    </xf>
    <xf numFmtId="0" fontId="6" fillId="2" borderId="0" xfId="2" quotePrefix="1" applyFont="1" applyFill="1" applyAlignment="1">
      <alignment vertical="center" wrapText="1"/>
    </xf>
    <xf numFmtId="0" fontId="6" fillId="3" borderId="0" xfId="2" applyFont="1" applyFill="1" applyAlignment="1">
      <alignment vertical="center" wrapText="1"/>
    </xf>
    <xf numFmtId="14" fontId="6" fillId="0" borderId="0" xfId="2" applyNumberFormat="1" applyFont="1" applyAlignment="1">
      <alignment vertical="center" wrapText="1"/>
    </xf>
    <xf numFmtId="0" fontId="6" fillId="2" borderId="2" xfId="2" applyFont="1" applyFill="1" applyBorder="1" applyAlignment="1">
      <alignment vertical="center" wrapText="1"/>
    </xf>
    <xf numFmtId="0" fontId="6" fillId="2" borderId="2" xfId="2" quotePrefix="1" applyFont="1" applyFill="1" applyBorder="1" applyAlignment="1">
      <alignment vertical="center" wrapText="1"/>
    </xf>
    <xf numFmtId="0" fontId="6" fillId="2" borderId="3" xfId="2" applyFont="1" applyFill="1" applyBorder="1" applyAlignment="1">
      <alignment vertical="center" wrapText="1"/>
    </xf>
    <xf numFmtId="0" fontId="6" fillId="2" borderId="4" xfId="2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6" fillId="2" borderId="1" xfId="2" applyFont="1" applyFill="1" applyBorder="1" applyAlignment="1">
      <alignment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vertical="center" wrapText="1"/>
    </xf>
    <xf numFmtId="0" fontId="3" fillId="4" borderId="1" xfId="1" applyFill="1" applyBorder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3" fillId="0" borderId="0" xfId="1" applyFill="1" applyAlignment="1">
      <alignment vertical="center" wrapText="1"/>
    </xf>
    <xf numFmtId="0" fontId="7" fillId="0" borderId="0" xfId="2" applyFont="1" applyAlignment="1">
      <alignment horizontal="left" vertical="center"/>
    </xf>
    <xf numFmtId="0" fontId="8" fillId="0" borderId="0" xfId="2" applyFont="1" applyAlignment="1">
      <alignment vertical="center" wrapText="1"/>
    </xf>
    <xf numFmtId="14" fontId="6" fillId="0" borderId="1" xfId="2" applyNumberFormat="1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4" fillId="0" borderId="0" xfId="2" applyAlignment="1">
      <alignment vertical="center"/>
    </xf>
    <xf numFmtId="0" fontId="4" fillId="0" borderId="1" xfId="2" applyBorder="1" applyAlignment="1">
      <alignment vertical="center"/>
    </xf>
    <xf numFmtId="0" fontId="4" fillId="2" borderId="0" xfId="2" applyFill="1" applyAlignment="1">
      <alignment vertical="center"/>
    </xf>
    <xf numFmtId="0" fontId="7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 wrapText="1"/>
    </xf>
    <xf numFmtId="16" fontId="6" fillId="0" borderId="1" xfId="2" applyNumberFormat="1" applyFont="1" applyBorder="1" applyAlignment="1">
      <alignment vertical="center" wrapText="1"/>
    </xf>
    <xf numFmtId="0" fontId="3" fillId="0" borderId="1" xfId="1" applyBorder="1" applyAlignment="1">
      <alignment vertical="center"/>
    </xf>
    <xf numFmtId="0" fontId="12" fillId="0" borderId="1" xfId="2" applyFont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0" fontId="3" fillId="2" borderId="0" xfId="1" applyFill="1" applyAlignment="1">
      <alignment vertical="center" wrapText="1"/>
    </xf>
    <xf numFmtId="14" fontId="0" fillId="0" borderId="1" xfId="0" applyNumberFormat="1" applyBorder="1"/>
    <xf numFmtId="0" fontId="0" fillId="0" borderId="1" xfId="0" applyBorder="1"/>
    <xf numFmtId="14" fontId="0" fillId="0" borderId="11" xfId="0" applyNumberFormat="1" applyBorder="1"/>
    <xf numFmtId="0" fontId="0" fillId="0" borderId="11" xfId="0" applyBorder="1"/>
    <xf numFmtId="0" fontId="0" fillId="0" borderId="6" xfId="0" applyBorder="1"/>
    <xf numFmtId="14" fontId="0" fillId="0" borderId="1" xfId="0" applyNumberFormat="1" applyBorder="1" applyAlignment="1">
      <alignment wrapText="1"/>
    </xf>
    <xf numFmtId="14" fontId="0" fillId="0" borderId="0" xfId="0" applyNumberFormat="1"/>
    <xf numFmtId="0" fontId="0" fillId="0" borderId="1" xfId="2" applyFont="1" applyBorder="1" applyAlignment="1">
      <alignment vertical="center" wrapText="1"/>
    </xf>
    <xf numFmtId="14" fontId="0" fillId="0" borderId="1" xfId="2" applyNumberFormat="1" applyFont="1" applyBorder="1" applyAlignment="1">
      <alignment vertical="center" wrapText="1"/>
    </xf>
    <xf numFmtId="0" fontId="0" fillId="5" borderId="1" xfId="0" applyFill="1" applyBorder="1"/>
    <xf numFmtId="0" fontId="1" fillId="5" borderId="1" xfId="0" applyFont="1" applyFill="1" applyBorder="1"/>
    <xf numFmtId="14" fontId="0" fillId="5" borderId="1" xfId="0" applyNumberFormat="1" applyFill="1" applyBorder="1"/>
    <xf numFmtId="14" fontId="1" fillId="5" borderId="1" xfId="0" applyNumberFormat="1" applyFont="1" applyFill="1" applyBorder="1"/>
    <xf numFmtId="14" fontId="0" fillId="6" borderId="1" xfId="0" applyNumberFormat="1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8" borderId="1" xfId="0" applyFill="1" applyBorder="1"/>
    <xf numFmtId="14" fontId="0" fillId="8" borderId="1" xfId="0" applyNumberFormat="1" applyFill="1" applyBorder="1"/>
    <xf numFmtId="0" fontId="1" fillId="8" borderId="1" xfId="0" applyFont="1" applyFill="1" applyBorder="1"/>
    <xf numFmtId="14" fontId="1" fillId="8" borderId="1" xfId="0" applyNumberFormat="1" applyFont="1" applyFill="1" applyBorder="1"/>
    <xf numFmtId="0" fontId="0" fillId="8" borderId="12" xfId="0" applyFill="1" applyBorder="1"/>
    <xf numFmtId="14" fontId="0" fillId="8" borderId="12" xfId="0" applyNumberFormat="1" applyFill="1" applyBorder="1"/>
    <xf numFmtId="0" fontId="1" fillId="8" borderId="12" xfId="0" applyFont="1" applyFill="1" applyBorder="1"/>
    <xf numFmtId="14" fontId="0" fillId="0" borderId="12" xfId="0" applyNumberFormat="1" applyBorder="1"/>
    <xf numFmtId="0" fontId="0" fillId="7" borderId="12" xfId="0" applyFill="1" applyBorder="1"/>
    <xf numFmtId="0" fontId="0" fillId="0" borderId="12" xfId="0" applyBorder="1"/>
    <xf numFmtId="0" fontId="0" fillId="8" borderId="11" xfId="0" applyFill="1" applyBorder="1"/>
    <xf numFmtId="0" fontId="0" fillId="7" borderId="11" xfId="0" applyFill="1" applyBorder="1"/>
    <xf numFmtId="14" fontId="0" fillId="8" borderId="14" xfId="0" applyNumberFormat="1" applyFill="1" applyBorder="1"/>
    <xf numFmtId="14" fontId="1" fillId="8" borderId="14" xfId="0" applyNumberFormat="1" applyFont="1" applyFill="1" applyBorder="1"/>
    <xf numFmtId="14" fontId="0" fillId="0" borderId="14" xfId="0" applyNumberFormat="1" applyBorder="1"/>
    <xf numFmtId="14" fontId="0" fillId="7" borderId="14" xfId="0" applyNumberFormat="1" applyFill="1" applyBorder="1"/>
    <xf numFmtId="14" fontId="0" fillId="0" borderId="15" xfId="0" applyNumberFormat="1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9" borderId="12" xfId="0" applyFont="1" applyFill="1" applyBorder="1"/>
    <xf numFmtId="0" fontId="1" fillId="6" borderId="1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3" xfId="0" applyFont="1" applyBorder="1" applyAlignment="1">
      <alignment horizontal="center"/>
    </xf>
    <xf numFmtId="0" fontId="0" fillId="8" borderId="6" xfId="0" applyFill="1" applyBorder="1"/>
    <xf numFmtId="14" fontId="0" fillId="10" borderId="1" xfId="0" applyNumberFormat="1" applyFill="1" applyBorder="1"/>
    <xf numFmtId="14" fontId="0" fillId="10" borderId="14" xfId="0" applyNumberFormat="1" applyFill="1" applyBorder="1"/>
    <xf numFmtId="0" fontId="0" fillId="10" borderId="11" xfId="0" applyFill="1" applyBorder="1"/>
    <xf numFmtId="0" fontId="0" fillId="10" borderId="1" xfId="0" applyFill="1" applyBorder="1"/>
    <xf numFmtId="14" fontId="0" fillId="10" borderId="12" xfId="0" applyNumberFormat="1" applyFill="1" applyBorder="1"/>
    <xf numFmtId="0" fontId="0" fillId="0" borderId="0" xfId="0" applyAlignment="1">
      <alignment horizontal="center"/>
    </xf>
    <xf numFmtId="14" fontId="0" fillId="7" borderId="12" xfId="0" applyNumberFormat="1" applyFill="1" applyBorder="1"/>
    <xf numFmtId="0" fontId="0" fillId="10" borderId="12" xfId="0" applyFill="1" applyBorder="1"/>
    <xf numFmtId="14" fontId="1" fillId="0" borderId="12" xfId="0" applyNumberFormat="1" applyFont="1" applyBorder="1"/>
    <xf numFmtId="0" fontId="1" fillId="0" borderId="17" xfId="0" applyFont="1" applyBorder="1" applyAlignment="1">
      <alignment horizontal="center"/>
    </xf>
    <xf numFmtId="14" fontId="0" fillId="8" borderId="16" xfId="0" applyNumberFormat="1" applyFill="1" applyBorder="1"/>
    <xf numFmtId="14" fontId="1" fillId="8" borderId="16" xfId="0" applyNumberFormat="1" applyFont="1" applyFill="1" applyBorder="1"/>
    <xf numFmtId="14" fontId="0" fillId="7" borderId="16" xfId="0" applyNumberFormat="1" applyFill="1" applyBorder="1"/>
    <xf numFmtId="14" fontId="0" fillId="10" borderId="16" xfId="0" applyNumberFormat="1" applyFill="1" applyBorder="1"/>
    <xf numFmtId="14" fontId="0" fillId="0" borderId="16" xfId="0" applyNumberFormat="1" applyBorder="1"/>
    <xf numFmtId="14" fontId="0" fillId="0" borderId="18" xfId="0" applyNumberFormat="1" applyBorder="1"/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1" xfId="3" applyFill="1" applyBorder="1" applyAlignment="1">
      <alignment vertical="center" wrapText="1"/>
    </xf>
    <xf numFmtId="0" fontId="13" fillId="10" borderId="1" xfId="0" applyFont="1" applyFill="1" applyBorder="1"/>
    <xf numFmtId="0" fontId="0" fillId="10" borderId="0" xfId="0" applyFill="1"/>
    <xf numFmtId="14" fontId="0" fillId="10" borderId="5" xfId="0" applyNumberFormat="1" applyFill="1" applyBorder="1" applyAlignment="1">
      <alignment horizontal="center"/>
    </xf>
    <xf numFmtId="0" fontId="14" fillId="0" borderId="7" xfId="0" applyFont="1" applyBorder="1" applyAlignment="1">
      <alignment horizontal="center"/>
    </xf>
    <xf numFmtId="14" fontId="14" fillId="0" borderId="16" xfId="0" applyNumberFormat="1" applyFont="1" applyBorder="1"/>
    <xf numFmtId="0" fontId="0" fillId="5" borderId="12" xfId="0" applyFill="1" applyBorder="1"/>
    <xf numFmtId="0" fontId="0" fillId="5" borderId="1" xfId="0" applyFill="1" applyBorder="1" applyAlignment="1">
      <alignment horizontal="center"/>
    </xf>
    <xf numFmtId="14" fontId="0" fillId="5" borderId="16" xfId="0" applyNumberFormat="1" applyFill="1" applyBorder="1"/>
    <xf numFmtId="0" fontId="0" fillId="5" borderId="11" xfId="0" applyFill="1" applyBorder="1"/>
    <xf numFmtId="0" fontId="0" fillId="5" borderId="0" xfId="0" applyFill="1"/>
    <xf numFmtId="0" fontId="0" fillId="7" borderId="5" xfId="0" applyFill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11" borderId="12" xfId="0" applyNumberFormat="1" applyFill="1" applyBorder="1"/>
    <xf numFmtId="14" fontId="0" fillId="11" borderId="1" xfId="0" applyNumberFormat="1" applyFill="1" applyBorder="1"/>
    <xf numFmtId="14" fontId="0" fillId="0" borderId="6" xfId="0" applyNumberFormat="1" applyBorder="1"/>
    <xf numFmtId="0" fontId="4" fillId="0" borderId="1" xfId="2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4" fontId="0" fillId="8" borderId="1" xfId="0" applyNumberFormat="1" applyFill="1" applyBorder="1" applyAlignment="1">
      <alignment vertical="center"/>
    </xf>
    <xf numFmtId="14" fontId="0" fillId="8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vertical="center"/>
    </xf>
    <xf numFmtId="14" fontId="0" fillId="10" borderId="12" xfId="0" applyNumberFormat="1" applyFill="1" applyBorder="1" applyAlignment="1">
      <alignment vertical="center"/>
    </xf>
    <xf numFmtId="14" fontId="0" fillId="10" borderId="1" xfId="0" applyNumberFormat="1" applyFill="1" applyBorder="1" applyAlignment="1">
      <alignment vertical="center"/>
    </xf>
    <xf numFmtId="14" fontId="0" fillId="10" borderId="1" xfId="0" applyNumberForma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13" fillId="10" borderId="1" xfId="0" applyFont="1" applyFill="1" applyBorder="1" applyAlignment="1">
      <alignment vertical="center"/>
    </xf>
    <xf numFmtId="0" fontId="0" fillId="10" borderId="0" xfId="0" applyFill="1" applyAlignment="1">
      <alignment vertical="center"/>
    </xf>
    <xf numFmtId="14" fontId="0" fillId="10" borderId="5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14" fontId="0" fillId="0" borderId="11" xfId="0" applyNumberFormat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14" fontId="0" fillId="0" borderId="1" xfId="0" applyNumberForma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15" fillId="0" borderId="0" xfId="0" applyFont="1" applyAlignment="1">
      <alignment vertical="center" wrapText="1"/>
    </xf>
    <xf numFmtId="0" fontId="1" fillId="9" borderId="12" xfId="0" applyFont="1" applyFill="1" applyBorder="1" applyAlignment="1">
      <alignment vertical="center" wrapText="1"/>
    </xf>
    <xf numFmtId="0" fontId="0" fillId="8" borderId="12" xfId="0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14" fontId="0" fillId="8" borderId="12" xfId="0" applyNumberFormat="1" applyFill="1" applyBorder="1" applyAlignment="1">
      <alignment vertical="center" wrapText="1"/>
    </xf>
    <xf numFmtId="0" fontId="0" fillId="7" borderId="12" xfId="0" applyFill="1" applyBorder="1" applyAlignment="1">
      <alignment vertical="center" wrapText="1"/>
    </xf>
    <xf numFmtId="14" fontId="0" fillId="10" borderId="12" xfId="0" applyNumberFormat="1" applyFill="1" applyBorder="1" applyAlignment="1">
      <alignment vertical="center" wrapText="1"/>
    </xf>
    <xf numFmtId="0" fontId="0" fillId="10" borderId="12" xfId="0" applyFill="1" applyBorder="1" applyAlignment="1">
      <alignment vertical="center" wrapText="1"/>
    </xf>
    <xf numFmtId="14" fontId="0" fillId="7" borderId="12" xfId="0" applyNumberFormat="1" applyFill="1" applyBorder="1" applyAlignment="1">
      <alignment vertical="center" wrapText="1"/>
    </xf>
    <xf numFmtId="14" fontId="1" fillId="0" borderId="12" xfId="0" applyNumberFormat="1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14" fontId="0" fillId="0" borderId="12" xfId="0" applyNumberFormat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14" fontId="0" fillId="8" borderId="1" xfId="0" applyNumberForma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vertical="center" wrapText="1"/>
    </xf>
    <xf numFmtId="14" fontId="0" fillId="7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14" fontId="0" fillId="8" borderId="16" xfId="0" applyNumberFormat="1" applyFill="1" applyBorder="1" applyAlignment="1">
      <alignment horizontal="center" vertical="center"/>
    </xf>
    <xf numFmtId="14" fontId="1" fillId="8" borderId="16" xfId="0" applyNumberFormat="1" applyFont="1" applyFill="1" applyBorder="1" applyAlignment="1">
      <alignment horizontal="center" vertical="center"/>
    </xf>
    <xf numFmtId="14" fontId="0" fillId="7" borderId="16" xfId="0" applyNumberFormat="1" applyFill="1" applyBorder="1" applyAlignment="1">
      <alignment horizontal="center" vertical="center"/>
    </xf>
    <xf numFmtId="14" fontId="0" fillId="10" borderId="16" xfId="0" applyNumberFormat="1" applyFill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14" fontId="0" fillId="5" borderId="16" xfId="0" applyNumberForma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7" xfId="0" applyNumberFormat="1" applyBorder="1" applyAlignment="1">
      <alignment vertical="center"/>
    </xf>
    <xf numFmtId="0" fontId="0" fillId="8" borderId="1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4" fontId="0" fillId="0" borderId="5" xfId="0" applyNumberFormat="1" applyBorder="1" applyAlignment="1">
      <alignment vertical="center"/>
    </xf>
    <xf numFmtId="14" fontId="0" fillId="0" borderId="12" xfId="0" applyNumberFormat="1" applyBorder="1" applyAlignment="1">
      <alignment vertical="center"/>
    </xf>
    <xf numFmtId="14" fontId="0" fillId="0" borderId="2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2" applyFont="1" applyBorder="1" applyAlignment="1">
      <alignment vertical="center" wrapText="1"/>
    </xf>
    <xf numFmtId="0" fontId="0" fillId="0" borderId="5" xfId="0" applyBorder="1" applyAlignment="1">
      <alignment vertical="center"/>
    </xf>
    <xf numFmtId="14" fontId="0" fillId="0" borderId="8" xfId="0" applyNumberFormat="1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14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2" applyFont="1" applyBorder="1" applyAlignment="1">
      <alignment vertical="center" wrapText="1"/>
    </xf>
    <xf numFmtId="0" fontId="0" fillId="0" borderId="7" xfId="0" applyBorder="1" applyAlignment="1">
      <alignment vertical="center"/>
    </xf>
    <xf numFmtId="14" fontId="0" fillId="0" borderId="10" xfId="0" applyNumberFormat="1" applyBorder="1" applyAlignment="1">
      <alignment vertical="center" wrapText="1"/>
    </xf>
    <xf numFmtId="14" fontId="0" fillId="0" borderId="24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2" applyFont="1" applyBorder="1" applyAlignment="1">
      <alignment vertical="center" wrapText="1"/>
    </xf>
    <xf numFmtId="0" fontId="6" fillId="0" borderId="12" xfId="2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14" fontId="1" fillId="0" borderId="2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2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/>
    </xf>
    <xf numFmtId="0" fontId="0" fillId="0" borderId="12" xfId="2" applyFont="1" applyBorder="1" applyAlignment="1">
      <alignment vertical="center" wrapText="1"/>
    </xf>
    <xf numFmtId="14" fontId="0" fillId="0" borderId="8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14" fontId="0" fillId="0" borderId="26" xfId="0" applyNumberFormat="1" applyBorder="1" applyAlignment="1">
      <alignment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14" fontId="6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14" fontId="0" fillId="0" borderId="6" xfId="0" applyNumberFormat="1" applyBorder="1" applyAlignment="1">
      <alignment vertical="center" wrapText="1"/>
    </xf>
    <xf numFmtId="14" fontId="0" fillId="0" borderId="7" xfId="0" applyNumberFormat="1" applyBorder="1" applyAlignment="1">
      <alignment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0" fillId="0" borderId="25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vertical="center"/>
    </xf>
    <xf numFmtId="14" fontId="6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14" fontId="0" fillId="0" borderId="6" xfId="0" applyNumberFormat="1" applyBorder="1" applyAlignment="1">
      <alignment vertical="center" wrapText="1"/>
    </xf>
    <xf numFmtId="14" fontId="0" fillId="0" borderId="7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1" xfId="0" applyFill="1" applyBorder="1" applyAlignment="1">
      <alignment horizontal="center"/>
    </xf>
  </cellXfs>
  <cellStyles count="4">
    <cellStyle name="Hiperlink" xfId="1" builtinId="8"/>
    <cellStyle name="Hyperlink" xfId="3" xr:uid="{00000000-000B-0000-0000-000008000000}"/>
    <cellStyle name="Normal" xfId="0" builtinId="0"/>
    <cellStyle name="Normal 2" xfId="2" xr:uid="{0CDD8C9E-F455-4A10-BF49-8601E0A4F9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1238250</xdr:colOff>
      <xdr:row>0</xdr:row>
      <xdr:rowOff>0</xdr:rowOff>
    </xdr:from>
    <xdr:ext cx="1333500" cy="552450"/>
    <xdr:pic>
      <xdr:nvPicPr>
        <xdr:cNvPr id="2" name="image1.png">
          <a:extLst>
            <a:ext uri="{FF2B5EF4-FFF2-40B4-BE49-F238E27FC236}">
              <a16:creationId xmlns:a16="http://schemas.microsoft.com/office/drawing/2014/main" id="{A7552EC4-473B-4C0B-B13E-7E868BC3A7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95550" y="0"/>
          <a:ext cx="1333500" cy="5524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ata de Abreu Barbosa" id="{35118EB7-FD3C-4772-961B-BB5A87832063}" userId="c09e1e5b287f350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3-12-13T00:09:38.28" personId="{35118EB7-FD3C-4772-961B-BB5A87832063}" id="{2CD4C625-6CB9-4128-BE9B-70C44D8325BD}">
    <text>https://youtube.com/playlist?list=PLc7XP3wbtSyQGWLEeWoAj6EPB1SNtmRuA&amp;si=Y-RFz98e19tvZttt</text>
    <extLst>
      <x:ext xmlns:xltc2="http://schemas.microsoft.com/office/spreadsheetml/2020/threadedcomments2" uri="{F7C98A9C-CBB3-438F-8F68-D28B6AF4A901}">
        <xltc2:checksum>1951290416</xltc2:checksum>
        <xltc2:hyperlink startIndex="0" length="88" url="https://youtube.com/playlist?list=PLc7XP3wbtSyQGWLEeWoAj6EPB1SNtmRuA&amp;si=Y-RFz98e19tvZttt"/>
      </x:ext>
    </extLst>
  </threadedComment>
  <threadedComment ref="G89" dT="2023-12-11T08:39:06.43" personId="{35118EB7-FD3C-4772-961B-BB5A87832063}" id="{7B1B1499-7E23-48DB-A305-055F46C59B07}">
    <text>Capa errada</text>
  </threadedComment>
  <threadedComment ref="E116" dT="2023-12-12T23:52:46.18" personId="{35118EB7-FD3C-4772-961B-BB5A87832063}" id="{E7A03774-8CD6-472F-89D0-6F23A44FE056}">
    <text>Para as crianças foram dados os capítulos 3 a 5</text>
  </threadedComment>
  <threadedComment ref="E117" dT="2023-12-12T23:52:57.41" personId="{35118EB7-FD3C-4772-961B-BB5A87832063}" id="{E2A08735-74CF-4247-A108-2BDDECE27E8B}">
    <text>Para as crianças foram dados os capítulos 8 e 9</text>
  </threadedComment>
  <threadedComment ref="D133" dT="2023-12-13T00:00:44.55" personId="{35118EB7-FD3C-4772-961B-BB5A87832063}" id="{07445A2A-F90D-4DFF-919A-EF8158036383}">
    <text>Aula "fora de ordem" por conta da disponibilidade do professor rev. Leandro Lima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live/S_tanpf6mn0?si=n-5nluomx_uEAgK4" TargetMode="External"/><Relationship Id="rId21" Type="http://schemas.openxmlformats.org/officeDocument/2006/relationships/hyperlink" Target="https://www.youtube.com/live/ZP9133P7llA?si=aK8gbZcbkGJc1iq7" TargetMode="External"/><Relationship Id="rId42" Type="http://schemas.openxmlformats.org/officeDocument/2006/relationships/hyperlink" Target="https://www.youtube.com/live/8ab9JBKaK-c?si=cYM5LdrHa_JbmU-P" TargetMode="External"/><Relationship Id="rId63" Type="http://schemas.openxmlformats.org/officeDocument/2006/relationships/hyperlink" Target="https://www.youtube.com/live/N4xtrvHCmbk?si=IRrPLEbk6j7fHPCC" TargetMode="External"/><Relationship Id="rId84" Type="http://schemas.openxmlformats.org/officeDocument/2006/relationships/hyperlink" Target="https://www.youtube.com/live/ob1hQ0HRVAE?si=wCoaAE_iJY-GSn2R" TargetMode="External"/><Relationship Id="rId138" Type="http://schemas.microsoft.com/office/2017/10/relationships/threadedComment" Target="../threadedComments/threadedComment1.xml"/><Relationship Id="rId16" Type="http://schemas.openxmlformats.org/officeDocument/2006/relationships/hyperlink" Target="https://www.youtube.com/live/lNBXw0x201Y?si=e1LbIGdQmJqDmqph" TargetMode="External"/><Relationship Id="rId107" Type="http://schemas.openxmlformats.org/officeDocument/2006/relationships/hyperlink" Target="https://www.youtube.com/live/ZMirklbam1E?si=V6ilgv7RijiHq07c" TargetMode="External"/><Relationship Id="rId11" Type="http://schemas.openxmlformats.org/officeDocument/2006/relationships/hyperlink" Target="https://www.youtube.com/live/QJqTSLQiU4E?si=kHCOalphus_XSrDq" TargetMode="External"/><Relationship Id="rId32" Type="http://schemas.openxmlformats.org/officeDocument/2006/relationships/hyperlink" Target="https://www.youtube.com/live/-DrIMZnPjvI?si=YTtsG1MGxSWadZGF" TargetMode="External"/><Relationship Id="rId37" Type="http://schemas.openxmlformats.org/officeDocument/2006/relationships/hyperlink" Target="https://www.youtube.com/live/aEz_wB0cLgU?si=LzNJ1umspMU-6l5Y" TargetMode="External"/><Relationship Id="rId53" Type="http://schemas.openxmlformats.org/officeDocument/2006/relationships/hyperlink" Target="https://www.youtube.com/live/ymL4vwutYCo?si=e2ajyDAPjdIF-74M" TargetMode="External"/><Relationship Id="rId58" Type="http://schemas.openxmlformats.org/officeDocument/2006/relationships/hyperlink" Target="https://www.youtube.com/live/nhuiVZ0hVPU?si=Ptv3v7gowUX_8fJl" TargetMode="External"/><Relationship Id="rId74" Type="http://schemas.openxmlformats.org/officeDocument/2006/relationships/hyperlink" Target="https://www.youtube.com/live/kRNvhVVWxUQ?si=hGRchO9GTFFEgfJ3" TargetMode="External"/><Relationship Id="rId79" Type="http://schemas.openxmlformats.org/officeDocument/2006/relationships/hyperlink" Target="https://www.youtube.com/live/2fYOWG7PRpM?si=Lgtl-F2xSwJYDN--" TargetMode="External"/><Relationship Id="rId102" Type="http://schemas.openxmlformats.org/officeDocument/2006/relationships/hyperlink" Target="https://www.youtube.com/live/2lk6bdvZY6M?si=MGsBXHCPJ6xGG_Hz" TargetMode="External"/><Relationship Id="rId123" Type="http://schemas.openxmlformats.org/officeDocument/2006/relationships/hyperlink" Target="https://www.youtube.com/live/pYBLTmT86sQ?si=hsrCz7rHQYMRvZwe" TargetMode="External"/><Relationship Id="rId128" Type="http://schemas.openxmlformats.org/officeDocument/2006/relationships/hyperlink" Target="https://www.youtube.com/live/4WZGNtJPAwQ?si=XaBetaD45o3sU3NA" TargetMode="External"/><Relationship Id="rId5" Type="http://schemas.openxmlformats.org/officeDocument/2006/relationships/hyperlink" Target="https://www.youtube.com/live/Ov0uHhaZSX8?si=f78wUqvgCJg-zSTQ" TargetMode="External"/><Relationship Id="rId90" Type="http://schemas.openxmlformats.org/officeDocument/2006/relationships/hyperlink" Target="https://www.youtube.com/live/R4ngTFJmZ2o?si=ssOVRJthdFJ2Zbnj" TargetMode="External"/><Relationship Id="rId95" Type="http://schemas.openxmlformats.org/officeDocument/2006/relationships/hyperlink" Target="https://www.youtube.com/live/R5imEu3J-fQ?si=ODtcOEnvcZA9H-lN" TargetMode="External"/><Relationship Id="rId22" Type="http://schemas.openxmlformats.org/officeDocument/2006/relationships/hyperlink" Target="https://www.youtube.com/live/__ZpasqB3BY?si=Mz4mfxXrA6Ykh_rs" TargetMode="External"/><Relationship Id="rId27" Type="http://schemas.openxmlformats.org/officeDocument/2006/relationships/hyperlink" Target="https://www.youtube.com/live/Il7Qd8AEyo4?si=-MC4TZkkNwj2FO74" TargetMode="External"/><Relationship Id="rId43" Type="http://schemas.openxmlformats.org/officeDocument/2006/relationships/hyperlink" Target="https://www.youtube.com/live/VQMkIVMKpJg?si=_bdoTQ9Azg6qnq1I" TargetMode="External"/><Relationship Id="rId48" Type="http://schemas.openxmlformats.org/officeDocument/2006/relationships/hyperlink" Target="https://www.youtube.com/live/fwIpjIAMTBo?si=J0VHPoMJ7wYWLZMJ" TargetMode="External"/><Relationship Id="rId64" Type="http://schemas.openxmlformats.org/officeDocument/2006/relationships/hyperlink" Target="https://www.youtube.com/live/l-Qd4P9fZmI?si=CR1zusQXinm0vP1N" TargetMode="External"/><Relationship Id="rId69" Type="http://schemas.openxmlformats.org/officeDocument/2006/relationships/hyperlink" Target="https://www.youtube.com/live/UD7ocT3vEzM?si=XxU5EHtd8hnXnuOU" TargetMode="External"/><Relationship Id="rId113" Type="http://schemas.openxmlformats.org/officeDocument/2006/relationships/hyperlink" Target="https://www.youtube.com/live/bZPg5RxR2q0?si=91rKvRz47_YPoQgN" TargetMode="External"/><Relationship Id="rId118" Type="http://schemas.openxmlformats.org/officeDocument/2006/relationships/hyperlink" Target="https://www.youtube.com/live/PFnOzYZUYKQ?si=l7x-hnhOpQkx8s06" TargetMode="External"/><Relationship Id="rId134" Type="http://schemas.openxmlformats.org/officeDocument/2006/relationships/hyperlink" Target="https://www.dropbox.com/sh/nl43kmpzif1vn02/AAAMnk0sX-YarFv-E_LWBplna?dl=0" TargetMode="External"/><Relationship Id="rId80" Type="http://schemas.openxmlformats.org/officeDocument/2006/relationships/hyperlink" Target="https://www.youtube.com/live/UB4p-UzDnAE?si=F_C-7J7IA_IQfhQa" TargetMode="External"/><Relationship Id="rId85" Type="http://schemas.openxmlformats.org/officeDocument/2006/relationships/hyperlink" Target="https://www.youtube.com/live/FIY-L9asHgc?si=LJw9Hho6BIpiiXn-" TargetMode="External"/><Relationship Id="rId12" Type="http://schemas.openxmlformats.org/officeDocument/2006/relationships/hyperlink" Target="https://www.youtube.com/live/AeLN-M0wcLM?si=1PD9nu6Fogn9wcrE" TargetMode="External"/><Relationship Id="rId17" Type="http://schemas.openxmlformats.org/officeDocument/2006/relationships/hyperlink" Target="https://www.youtube.com/live/t-eDzVO14F0?si=5U1eYACmTjvTBH_h" TargetMode="External"/><Relationship Id="rId33" Type="http://schemas.openxmlformats.org/officeDocument/2006/relationships/hyperlink" Target="https://www.youtube.com/live/Ivv8l27FStU?si=yfd6QPlZGyFLnyIJ" TargetMode="External"/><Relationship Id="rId38" Type="http://schemas.openxmlformats.org/officeDocument/2006/relationships/hyperlink" Target="https://www.youtube.com/live/rW4LYZ6eqzc?si=6hz1BCZ3KhDdFwQF" TargetMode="External"/><Relationship Id="rId59" Type="http://schemas.openxmlformats.org/officeDocument/2006/relationships/hyperlink" Target="https://www.youtube.com/live/ezmtruPBO0Q?si=WNH3oZNMQNk8Mxqq" TargetMode="External"/><Relationship Id="rId103" Type="http://schemas.openxmlformats.org/officeDocument/2006/relationships/hyperlink" Target="https://www.youtube.com/live/XlER26E4EbM?si=r-TNYsjiypwkNdlE" TargetMode="External"/><Relationship Id="rId108" Type="http://schemas.openxmlformats.org/officeDocument/2006/relationships/hyperlink" Target="https://www.youtube.com/live/VSXoy-bXXXk?si=x6VTi5gMlSHRgtxs" TargetMode="External"/><Relationship Id="rId124" Type="http://schemas.openxmlformats.org/officeDocument/2006/relationships/hyperlink" Target="https://www.youtube.com/live/DuOKYCKUNMI?si=dguMzzp63ohGkA_K" TargetMode="External"/><Relationship Id="rId129" Type="http://schemas.openxmlformats.org/officeDocument/2006/relationships/hyperlink" Target="https://www.youtube.com/live/YT9TqxOmaX8?si=0rlfNm1hah7tGDVr" TargetMode="External"/><Relationship Id="rId54" Type="http://schemas.openxmlformats.org/officeDocument/2006/relationships/hyperlink" Target="https://www.youtube.com/live/mN9teN9US0A?si=ghl-HfMQqrtyaEtn" TargetMode="External"/><Relationship Id="rId70" Type="http://schemas.openxmlformats.org/officeDocument/2006/relationships/hyperlink" Target="https://www.youtube.com/live/Ax65ZfJvArc?si=2uSvq_jjRVi528v6" TargetMode="External"/><Relationship Id="rId75" Type="http://schemas.openxmlformats.org/officeDocument/2006/relationships/hyperlink" Target="https://www.youtube.com/live/tVcaZ7AdCUo?si=E6zkbBQjOrxSDAxn" TargetMode="External"/><Relationship Id="rId91" Type="http://schemas.openxmlformats.org/officeDocument/2006/relationships/hyperlink" Target="https://www.youtube.com/live/cKx4GwEHEbE?si=GGvVlSjXlul_IyF1" TargetMode="External"/><Relationship Id="rId96" Type="http://schemas.openxmlformats.org/officeDocument/2006/relationships/hyperlink" Target="https://www.youtube.com/live/ujy_Ds1Ebqg?si=V_gdDMvCh0b6YnuY" TargetMode="External"/><Relationship Id="rId1" Type="http://schemas.openxmlformats.org/officeDocument/2006/relationships/hyperlink" Target="https://www.youtube.com/live/7ORwt2Q-5uQ?si=f3cRNawMCL8KBfHA" TargetMode="External"/><Relationship Id="rId6" Type="http://schemas.openxmlformats.org/officeDocument/2006/relationships/hyperlink" Target="https://www.youtube.com/live/wU8j4JbZ7cs?si=7yMlgJwIEVo5fn4d" TargetMode="External"/><Relationship Id="rId23" Type="http://schemas.openxmlformats.org/officeDocument/2006/relationships/hyperlink" Target="https://www.youtube.com/live/Tv2fc5XibUg?si=WUlfJ_FTapjb4LTV" TargetMode="External"/><Relationship Id="rId28" Type="http://schemas.openxmlformats.org/officeDocument/2006/relationships/hyperlink" Target="https://www.youtube.com/live/8Pb5VH4PgxA?si=xPscbtkV6SiBlfff" TargetMode="External"/><Relationship Id="rId49" Type="http://schemas.openxmlformats.org/officeDocument/2006/relationships/hyperlink" Target="https://www.youtube.com/live/UtnKHwAAoJ8?si=HpXnOP1jo2V1dHdo" TargetMode="External"/><Relationship Id="rId114" Type="http://schemas.openxmlformats.org/officeDocument/2006/relationships/hyperlink" Target="https://www.youtube.com/live/wmFVgFMsKUo?si=HdCMd8rNDzDrcHy0" TargetMode="External"/><Relationship Id="rId119" Type="http://schemas.openxmlformats.org/officeDocument/2006/relationships/hyperlink" Target="https://www.youtube.com/live/EVQcZ9cVH4M?si=tJID3hIcR6_KaaU2" TargetMode="External"/><Relationship Id="rId44" Type="http://schemas.openxmlformats.org/officeDocument/2006/relationships/hyperlink" Target="https://www.youtube.com/live/ympKxwf8c9k?si=zjz4NFsPzJGAENZG" TargetMode="External"/><Relationship Id="rId60" Type="http://schemas.openxmlformats.org/officeDocument/2006/relationships/hyperlink" Target="https://www.youtube.com/live/v0xEjkw-6K0?si=Qg0lGVBwBhGWGWFo" TargetMode="External"/><Relationship Id="rId65" Type="http://schemas.openxmlformats.org/officeDocument/2006/relationships/hyperlink" Target="https://www.youtube.com/live/zuY9JDgY2Hs?si=gQ4RqUxldt5_D9Sf" TargetMode="External"/><Relationship Id="rId81" Type="http://schemas.openxmlformats.org/officeDocument/2006/relationships/hyperlink" Target="https://www.youtube.com/live/rgmhoqxs_RQ?si=L5wmwbDuW9N-dSQt" TargetMode="External"/><Relationship Id="rId86" Type="http://schemas.openxmlformats.org/officeDocument/2006/relationships/hyperlink" Target="https://www.youtube.com/live/PgZsBnQ9Yec?si=UyUEz1BX0-TECWqG" TargetMode="External"/><Relationship Id="rId130" Type="http://schemas.openxmlformats.org/officeDocument/2006/relationships/hyperlink" Target="https://www.youtube.com/live/f64v3CeeKjw?si=VeHkkszHCd-G0l9n" TargetMode="External"/><Relationship Id="rId135" Type="http://schemas.openxmlformats.org/officeDocument/2006/relationships/drawing" Target="../drawings/drawing1.xml"/><Relationship Id="rId13" Type="http://schemas.openxmlformats.org/officeDocument/2006/relationships/hyperlink" Target="https://www.youtube.com/live/g0aB_oBJkDc?si=ymv-6bJbJZOJ8nLY" TargetMode="External"/><Relationship Id="rId18" Type="http://schemas.openxmlformats.org/officeDocument/2006/relationships/hyperlink" Target="https://www.youtube.com/live/rIbyVU6Xa0s?si=gbuudlr88S_TUEaA" TargetMode="External"/><Relationship Id="rId39" Type="http://schemas.openxmlformats.org/officeDocument/2006/relationships/hyperlink" Target="https://www.youtube.com/live/gvguDorJpNM?si=VlN3nPbt2DqwMsKn" TargetMode="External"/><Relationship Id="rId109" Type="http://schemas.openxmlformats.org/officeDocument/2006/relationships/hyperlink" Target="https://www.youtube.com/live/HAyssVWfJbA?si=6xATnDVSMdwCawMA" TargetMode="External"/><Relationship Id="rId34" Type="http://schemas.openxmlformats.org/officeDocument/2006/relationships/hyperlink" Target="https://www.youtube.com/live/i8iRXi5nV-E?si=6E5MxXWAfACKhmCI" TargetMode="External"/><Relationship Id="rId50" Type="http://schemas.openxmlformats.org/officeDocument/2006/relationships/hyperlink" Target="https://www.youtube.com/live/IB6tRZykAow?si=_oWOFU343YXvrWPJ" TargetMode="External"/><Relationship Id="rId55" Type="http://schemas.openxmlformats.org/officeDocument/2006/relationships/hyperlink" Target="https://www.youtube.com/live/mN9teN9US0A?si=ghl-HfMQqrtyaEtn" TargetMode="External"/><Relationship Id="rId76" Type="http://schemas.openxmlformats.org/officeDocument/2006/relationships/hyperlink" Target="https://www.youtube.com/live/BBGcTqWkAaw?si=r9AoXbpxkME3rHom" TargetMode="External"/><Relationship Id="rId97" Type="http://schemas.openxmlformats.org/officeDocument/2006/relationships/hyperlink" Target="https://www.youtube.com/live/R-BMFGnF6TA?si=yGBjch_GwQxaq47o" TargetMode="External"/><Relationship Id="rId104" Type="http://schemas.openxmlformats.org/officeDocument/2006/relationships/hyperlink" Target="https://www.youtube.com/live/kWiE3mXSI7U?si=AWRccokocLe4Ykc_" TargetMode="External"/><Relationship Id="rId120" Type="http://schemas.openxmlformats.org/officeDocument/2006/relationships/hyperlink" Target="https://www.youtube.com/live/tvPw2DS9FgU?si=t6HIp-n-033QwD2T" TargetMode="External"/><Relationship Id="rId125" Type="http://schemas.openxmlformats.org/officeDocument/2006/relationships/hyperlink" Target="https://www.youtube.com/live/vGGViJok5Ek?si=XIsTi7Stm5tqpoRy" TargetMode="External"/><Relationship Id="rId7" Type="http://schemas.openxmlformats.org/officeDocument/2006/relationships/hyperlink" Target="https://www.youtube.com/live/GcRrnfns5vQ?si=-01Bi_hGsaAFdVQS" TargetMode="External"/><Relationship Id="rId71" Type="http://schemas.openxmlformats.org/officeDocument/2006/relationships/hyperlink" Target="https://www.youtube.com/live/EFIAVz1DY4w?si=5vPMkTarhPl2CPnc" TargetMode="External"/><Relationship Id="rId92" Type="http://schemas.openxmlformats.org/officeDocument/2006/relationships/hyperlink" Target="https://www.youtube.com/live/9gPgnIGgmsg?si=p5wLZ1lAsCcDA_uo" TargetMode="External"/><Relationship Id="rId2" Type="http://schemas.openxmlformats.org/officeDocument/2006/relationships/hyperlink" Target="https://youtu.be/ak8F7bZ9QFc?si=7YjCUxyTS_AAxxbD" TargetMode="External"/><Relationship Id="rId29" Type="http://schemas.openxmlformats.org/officeDocument/2006/relationships/hyperlink" Target="https://www.youtube.com/live/47W6cRlumsc?si=dXy0-WZ9NMYXFLiC" TargetMode="External"/><Relationship Id="rId24" Type="http://schemas.openxmlformats.org/officeDocument/2006/relationships/hyperlink" Target="https://www.youtube.com/live/ybC2rpntsw4?si=GHJydt5-PsfKJHcI" TargetMode="External"/><Relationship Id="rId40" Type="http://schemas.openxmlformats.org/officeDocument/2006/relationships/hyperlink" Target="https://www.youtube.com/live/h5wRFjrDSeA?si=NtshZvT1POny6Sb6" TargetMode="External"/><Relationship Id="rId45" Type="http://schemas.openxmlformats.org/officeDocument/2006/relationships/hyperlink" Target="https://www.youtube.com/live/cfqBlrtIj14?si=N58kQstvEro-JEa1" TargetMode="External"/><Relationship Id="rId66" Type="http://schemas.openxmlformats.org/officeDocument/2006/relationships/hyperlink" Target="https://www.youtube.com/live/zuY9JDgY2Hs?si=yQz5c0xFP8OFDcUt" TargetMode="External"/><Relationship Id="rId87" Type="http://schemas.openxmlformats.org/officeDocument/2006/relationships/hyperlink" Target="https://www.youtube.com/live/ipa0G0CpHVg?si=ykaCvGkliouIYyQe" TargetMode="External"/><Relationship Id="rId110" Type="http://schemas.openxmlformats.org/officeDocument/2006/relationships/hyperlink" Target="https://www.youtube.com/live/GAdi-oVgQa8?si=v3zJJ-a3T1Gb85zy" TargetMode="External"/><Relationship Id="rId115" Type="http://schemas.openxmlformats.org/officeDocument/2006/relationships/hyperlink" Target="https://www.youtube.com/live/p1DE0UKYqQg?si=xvRgAonOSpETt3KK" TargetMode="External"/><Relationship Id="rId131" Type="http://schemas.openxmlformats.org/officeDocument/2006/relationships/hyperlink" Target="https://www.youtube.com/live/U0QHIXPnqdM?si=58Ai0jfTfJyV2hwg" TargetMode="External"/><Relationship Id="rId136" Type="http://schemas.openxmlformats.org/officeDocument/2006/relationships/vmlDrawing" Target="../drawings/vmlDrawing1.vml"/><Relationship Id="rId61" Type="http://schemas.openxmlformats.org/officeDocument/2006/relationships/hyperlink" Target="https://www.youtube.com/live/-fhldc461Nw?si=NVuYnJ6FohoDwdC9" TargetMode="External"/><Relationship Id="rId82" Type="http://schemas.openxmlformats.org/officeDocument/2006/relationships/hyperlink" Target="https://www.youtube.com/live/rgmhoqxs_RQ?si=AUHWgfUa9EfZRRQZ" TargetMode="External"/><Relationship Id="rId19" Type="http://schemas.openxmlformats.org/officeDocument/2006/relationships/hyperlink" Target="https://www.youtube.com/live/LUG75HGoz_g?si=Wq93Cz2_dP3XHgkR" TargetMode="External"/><Relationship Id="rId14" Type="http://schemas.openxmlformats.org/officeDocument/2006/relationships/hyperlink" Target="https://www.youtube.com/live/SNNuGFvKC_g?si=WcOxwN8rmAJE7E8F" TargetMode="External"/><Relationship Id="rId30" Type="http://schemas.openxmlformats.org/officeDocument/2006/relationships/hyperlink" Target="https://www.youtube.com/live/eUYlLlekEiw?si=MSEuk0nqYr6fuYs4" TargetMode="External"/><Relationship Id="rId35" Type="http://schemas.openxmlformats.org/officeDocument/2006/relationships/hyperlink" Target="https://www.youtube.com/live/V7P-RAdGAsw?si=FToz0NDBq1XDxjwr" TargetMode="External"/><Relationship Id="rId56" Type="http://schemas.openxmlformats.org/officeDocument/2006/relationships/hyperlink" Target="https://www.youtube.com/live/Je8mDxUgm5o?si=XiFEDa8891mnzUR2" TargetMode="External"/><Relationship Id="rId77" Type="http://schemas.openxmlformats.org/officeDocument/2006/relationships/hyperlink" Target="https://www.youtube.com/live/anDcZf9U2uw?si=4h0P7qVapm70JwwK" TargetMode="External"/><Relationship Id="rId100" Type="http://schemas.openxmlformats.org/officeDocument/2006/relationships/hyperlink" Target="https://www.youtube.com/live/HJBGs9ZoN0U?si=r2eEbB0hA1y2Ja5P" TargetMode="External"/><Relationship Id="rId105" Type="http://schemas.openxmlformats.org/officeDocument/2006/relationships/hyperlink" Target="https://www.youtube.com/live/etHdrTCNBN4?si=lyw_gAyM0Fsd70nJ" TargetMode="External"/><Relationship Id="rId126" Type="http://schemas.openxmlformats.org/officeDocument/2006/relationships/hyperlink" Target="https://www.youtube.com/live/oDd_Xc-veac?si=j0wOOfSigNlZy0X_" TargetMode="External"/><Relationship Id="rId8" Type="http://schemas.openxmlformats.org/officeDocument/2006/relationships/hyperlink" Target="https://www.youtube.com/live/uB7XF5SHyTw?si=Fi4vZkddJkG6ADe5" TargetMode="External"/><Relationship Id="rId51" Type="http://schemas.openxmlformats.org/officeDocument/2006/relationships/hyperlink" Target="https://www.youtube.com/live/9QlbliAlEsc?si=4vUY3i_MRaRPEScO" TargetMode="External"/><Relationship Id="rId72" Type="http://schemas.openxmlformats.org/officeDocument/2006/relationships/hyperlink" Target="https://www.youtube.com/live/OnTi883AJ0M?si=11PmVVENxwwvF4ZM" TargetMode="External"/><Relationship Id="rId93" Type="http://schemas.openxmlformats.org/officeDocument/2006/relationships/hyperlink" Target="https://www.youtube.com/live/jx_0-DhFX4o?si=Glz50lSx-fE4787H" TargetMode="External"/><Relationship Id="rId98" Type="http://schemas.openxmlformats.org/officeDocument/2006/relationships/hyperlink" Target="https://www.youtube.com/live/8TMVgdnePOk?si=acTh4VGvINJSJhuL" TargetMode="External"/><Relationship Id="rId121" Type="http://schemas.openxmlformats.org/officeDocument/2006/relationships/hyperlink" Target="https://www.youtube.com/live/A8NY4hZvI60?si=KfGjA2R2I9p348aV" TargetMode="External"/><Relationship Id="rId3" Type="http://schemas.openxmlformats.org/officeDocument/2006/relationships/hyperlink" Target="https://youtu.be/WNNsa7Mskg8?si=vojMKEpi7aJ4a8Ci" TargetMode="External"/><Relationship Id="rId25" Type="http://schemas.openxmlformats.org/officeDocument/2006/relationships/hyperlink" Target="https://www.youtube.com/live/pjywjhab8-M?si=-pGI5GUxXBMGDbX4" TargetMode="External"/><Relationship Id="rId46" Type="http://schemas.openxmlformats.org/officeDocument/2006/relationships/hyperlink" Target="https://www.youtube.com/live/EC-iFxtWn0Q?si=sD1wZ_00qHtm8oDj" TargetMode="External"/><Relationship Id="rId67" Type="http://schemas.openxmlformats.org/officeDocument/2006/relationships/hyperlink" Target="https://www.youtube.com/live/eHhoXbxXrc0?si=d6T3X1J_p42pkVbI" TargetMode="External"/><Relationship Id="rId116" Type="http://schemas.openxmlformats.org/officeDocument/2006/relationships/hyperlink" Target="https://www.youtube.com/live/hZaf1PjrUns?si=EuA4jQYNrWogdOly" TargetMode="External"/><Relationship Id="rId137" Type="http://schemas.openxmlformats.org/officeDocument/2006/relationships/comments" Target="../comments1.xml"/><Relationship Id="rId20" Type="http://schemas.openxmlformats.org/officeDocument/2006/relationships/hyperlink" Target="https://www.youtube.com/live/2s7tzDZCXqA?si=dE6eBHmC7lN921fs" TargetMode="External"/><Relationship Id="rId41" Type="http://schemas.openxmlformats.org/officeDocument/2006/relationships/hyperlink" Target="https://www.youtube.com/live/ya__QLny6kg?si=hdLgQHu1-XxFJhOB" TargetMode="External"/><Relationship Id="rId62" Type="http://schemas.openxmlformats.org/officeDocument/2006/relationships/hyperlink" Target="https://www.youtube.com/live/nZCImF5TJ3g?si=fxkItX7yXJ8U7Og1" TargetMode="External"/><Relationship Id="rId83" Type="http://schemas.openxmlformats.org/officeDocument/2006/relationships/hyperlink" Target="https://www.youtube.com/live/3yGr8RjlwDY?si=52xXIUfijxTMrNap" TargetMode="External"/><Relationship Id="rId88" Type="http://schemas.openxmlformats.org/officeDocument/2006/relationships/hyperlink" Target="https://www.youtube.com/live/sPNP1tCdaoo?si=x1MVuhHowfbI_Dtl" TargetMode="External"/><Relationship Id="rId111" Type="http://schemas.openxmlformats.org/officeDocument/2006/relationships/hyperlink" Target="https://www.youtube.com/live/brYSS0TTcy8?si=cshC3_z25CpQP5T_" TargetMode="External"/><Relationship Id="rId132" Type="http://schemas.openxmlformats.org/officeDocument/2006/relationships/hyperlink" Target="https://www.youtube.com/live/d3CZcIk1AzQ?si=1dgKXIYQOztzP_O6" TargetMode="External"/><Relationship Id="rId15" Type="http://schemas.openxmlformats.org/officeDocument/2006/relationships/hyperlink" Target="https://www.youtube.com/live/vKJtf9wN0Bo?si=Jmu6TE5g4rBI_67g" TargetMode="External"/><Relationship Id="rId36" Type="http://schemas.openxmlformats.org/officeDocument/2006/relationships/hyperlink" Target="https://youtu.be/gTI4J4t6qeo?si=cksN74v6r_26JJ7F" TargetMode="External"/><Relationship Id="rId57" Type="http://schemas.openxmlformats.org/officeDocument/2006/relationships/hyperlink" Target="https://www.youtube.com/live/HWF7NQG0rPw?si=zMtFsNtEis-LUdZR" TargetMode="External"/><Relationship Id="rId106" Type="http://schemas.openxmlformats.org/officeDocument/2006/relationships/hyperlink" Target="https://www.youtube.com/live/baq7MH0DN9I?si=mtQsv2hIbvI-hZYA" TargetMode="External"/><Relationship Id="rId127" Type="http://schemas.openxmlformats.org/officeDocument/2006/relationships/hyperlink" Target="https://www.youtube.com/live/AxonUKB6_yI?si=UJ5TKuxmGrKGfYSn" TargetMode="External"/><Relationship Id="rId10" Type="http://schemas.openxmlformats.org/officeDocument/2006/relationships/hyperlink" Target="https://www.youtube.com/live/KfEm9MbRtnE?si=we50w38kQzhG495G" TargetMode="External"/><Relationship Id="rId31" Type="http://schemas.openxmlformats.org/officeDocument/2006/relationships/hyperlink" Target="https://www.youtube.com/live/yC5inX-98sE?si=2mdDPZoSZWn3ARfE" TargetMode="External"/><Relationship Id="rId52" Type="http://schemas.openxmlformats.org/officeDocument/2006/relationships/hyperlink" Target="https://www.youtube.com/live/-ms0Ku3NfYs?si=C-PNpDXIfeNL-h6g" TargetMode="External"/><Relationship Id="rId73" Type="http://schemas.openxmlformats.org/officeDocument/2006/relationships/hyperlink" Target="https://www.youtube.com/live/uPiL5CWogRw?si=fK0Jb7iMkg9Co6gy" TargetMode="External"/><Relationship Id="rId78" Type="http://schemas.openxmlformats.org/officeDocument/2006/relationships/hyperlink" Target="https://www.youtube.com/live/Fu1hplCGJQQ?si=IRjL6N-pJRZ_5oKc" TargetMode="External"/><Relationship Id="rId94" Type="http://schemas.openxmlformats.org/officeDocument/2006/relationships/hyperlink" Target="https://www.youtube.com/live/714d6ydDanA?si=X3Zl5HGzVWGMFAtj" TargetMode="External"/><Relationship Id="rId99" Type="http://schemas.openxmlformats.org/officeDocument/2006/relationships/hyperlink" Target="https://www.youtube.com/live/r7DoYteELNU?si=mlmrskFLgxpZ71ui" TargetMode="External"/><Relationship Id="rId101" Type="http://schemas.openxmlformats.org/officeDocument/2006/relationships/hyperlink" Target="https://www.youtube.com/live/7eUyY3LW4cU?si=lsIkF4KlBj4xlskF" TargetMode="External"/><Relationship Id="rId122" Type="http://schemas.openxmlformats.org/officeDocument/2006/relationships/hyperlink" Target="https://www.youtube.com/live/8vuWx2g3QS0?si=AU8-eepLl-yT_BSI" TargetMode="External"/><Relationship Id="rId4" Type="http://schemas.openxmlformats.org/officeDocument/2006/relationships/hyperlink" Target="https://youtu.be/P-Ze7onWFgg?si=Sz2b_FpYW22EwBDB" TargetMode="External"/><Relationship Id="rId9" Type="http://schemas.openxmlformats.org/officeDocument/2006/relationships/hyperlink" Target="https://www.youtube.com/live/IeWsI_xa3oE?si=ojwPAvEZPvWWtFzF" TargetMode="External"/><Relationship Id="rId26" Type="http://schemas.openxmlformats.org/officeDocument/2006/relationships/hyperlink" Target="https://www.youtube.com/live/qcyCohWENPM?si=zETxgKrVjoCkEGJ0" TargetMode="External"/><Relationship Id="rId47" Type="http://schemas.openxmlformats.org/officeDocument/2006/relationships/hyperlink" Target="https://www.youtube.com/live/bYw9AxBjvN8?si=f3-zrg4Uzc1dVBh5" TargetMode="External"/><Relationship Id="rId68" Type="http://schemas.openxmlformats.org/officeDocument/2006/relationships/hyperlink" Target="https://www.youtube.com/live/Y2A1LBDZ8KQ?si=HxC-EptZnpbzsmaJ" TargetMode="External"/><Relationship Id="rId89" Type="http://schemas.openxmlformats.org/officeDocument/2006/relationships/hyperlink" Target="https://www.youtube.com/live/rohG4raREUU?si=PCE1tOYw78UJZHkf" TargetMode="External"/><Relationship Id="rId112" Type="http://schemas.openxmlformats.org/officeDocument/2006/relationships/hyperlink" Target="https://www.youtube.com/live/vqgbOQVa9Qw?si=yCY7wbCbOSoztTEk" TargetMode="External"/><Relationship Id="rId133" Type="http://schemas.openxmlformats.org/officeDocument/2006/relationships/hyperlink" Target="https://www.youtube.com/live/HgDGInhh-Ws?si=7Siu6NmJ_DNnXMc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47C5-08F8-43D0-AB2C-15E0A53B48E7}">
  <sheetPr>
    <pageSetUpPr fitToPage="1"/>
  </sheetPr>
  <dimension ref="A1:U989"/>
  <sheetViews>
    <sheetView showGridLines="0" topLeftCell="A128" workbookViewId="0">
      <selection activeCell="E100" sqref="E100:E101"/>
    </sheetView>
  </sheetViews>
  <sheetFormatPr defaultColWidth="14.42578125" defaultRowHeight="15" customHeight="1"/>
  <cols>
    <col min="1" max="1" width="5.5703125" style="27" customWidth="1"/>
    <col min="2" max="2" width="4" style="27" customWidth="1"/>
    <col min="3" max="3" width="9.140625" style="27" customWidth="1"/>
    <col min="4" max="4" width="50.5703125" style="27" customWidth="1"/>
    <col min="5" max="5" width="34.42578125" style="27" customWidth="1"/>
    <col min="6" max="6" width="6.5703125" style="27" customWidth="1"/>
    <col min="7" max="7" width="72.5703125" style="27" customWidth="1"/>
    <col min="8" max="13" width="14.85546875" style="27" customWidth="1"/>
    <col min="14" max="21" width="8.85546875" style="27" customWidth="1"/>
    <col min="22" max="16384" width="14.42578125" style="27"/>
  </cols>
  <sheetData>
    <row r="1" spans="1:21" ht="13.5" customHeight="1">
      <c r="A1" s="20"/>
      <c r="C1" s="21"/>
      <c r="E1" s="4"/>
      <c r="F1" s="5"/>
      <c r="G1" s="22"/>
      <c r="H1" s="5"/>
      <c r="I1" s="5"/>
      <c r="J1" s="5"/>
      <c r="K1" s="5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31.5" customHeight="1">
      <c r="B2" s="23" t="s">
        <v>0</v>
      </c>
      <c r="C2" s="21"/>
      <c r="D2" s="4"/>
      <c r="E2" s="4"/>
      <c r="F2" s="5"/>
      <c r="G2" s="40" t="s">
        <v>1</v>
      </c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27.75" customHeight="1">
      <c r="A3" s="24"/>
      <c r="B3" s="30" t="s">
        <v>2</v>
      </c>
      <c r="C3" s="30" t="s">
        <v>3</v>
      </c>
      <c r="D3" s="31" t="s">
        <v>4</v>
      </c>
      <c r="E3" s="31" t="s">
        <v>5</v>
      </c>
      <c r="F3" s="32" t="s">
        <v>6</v>
      </c>
      <c r="G3" s="32" t="s">
        <v>7</v>
      </c>
      <c r="H3" s="6"/>
      <c r="I3" s="6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4.45">
      <c r="A4" s="20"/>
      <c r="B4" s="251">
        <v>1</v>
      </c>
      <c r="C4" s="272" t="s">
        <v>8</v>
      </c>
      <c r="D4" s="26" t="s">
        <v>9</v>
      </c>
      <c r="E4" s="33" t="s">
        <v>10</v>
      </c>
      <c r="F4" s="34" t="s">
        <v>11</v>
      </c>
      <c r="G4" s="15" t="s">
        <v>12</v>
      </c>
      <c r="H4" s="5"/>
      <c r="I4" s="8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3.5" customHeight="1">
      <c r="A5" s="20"/>
      <c r="B5" s="251">
        <v>2</v>
      </c>
      <c r="C5" s="273"/>
      <c r="D5" s="33" t="s">
        <v>13</v>
      </c>
      <c r="E5" s="26" t="s">
        <v>14</v>
      </c>
      <c r="F5" s="34" t="s">
        <v>11</v>
      </c>
      <c r="G5" s="15" t="s">
        <v>15</v>
      </c>
      <c r="H5" s="5"/>
      <c r="I5" s="8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3.5" customHeight="1">
      <c r="A6" s="20"/>
      <c r="B6" s="251">
        <v>3</v>
      </c>
      <c r="C6" s="273"/>
      <c r="D6" s="33" t="s">
        <v>16</v>
      </c>
      <c r="E6" s="26" t="s">
        <v>17</v>
      </c>
      <c r="F6" s="34" t="s">
        <v>11</v>
      </c>
      <c r="G6" s="15" t="s">
        <v>18</v>
      </c>
      <c r="H6" s="5"/>
      <c r="I6" s="8"/>
      <c r="J6" s="5"/>
      <c r="K6" s="5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3.5" customHeight="1">
      <c r="A7" s="20"/>
      <c r="B7" s="251">
        <v>4</v>
      </c>
      <c r="C7" s="273"/>
      <c r="D7" s="33" t="s">
        <v>19</v>
      </c>
      <c r="E7" s="26" t="s">
        <v>20</v>
      </c>
      <c r="F7" s="34" t="s">
        <v>11</v>
      </c>
      <c r="G7" s="15" t="s">
        <v>21</v>
      </c>
      <c r="H7" s="5"/>
      <c r="I7" s="8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3.5" customHeight="1">
      <c r="A8" s="20"/>
      <c r="B8" s="251">
        <v>5</v>
      </c>
      <c r="C8" s="272" t="s">
        <v>22</v>
      </c>
      <c r="D8" s="33" t="s">
        <v>23</v>
      </c>
      <c r="E8" s="26" t="s">
        <v>24</v>
      </c>
      <c r="F8" s="34" t="s">
        <v>11</v>
      </c>
      <c r="G8" s="15" t="s">
        <v>25</v>
      </c>
      <c r="H8" s="5"/>
      <c r="I8" s="8"/>
      <c r="J8" s="5"/>
      <c r="K8" s="5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4.45">
      <c r="A9" s="20"/>
      <c r="B9" s="251">
        <v>6</v>
      </c>
      <c r="C9" s="273"/>
      <c r="D9" s="33" t="s">
        <v>26</v>
      </c>
      <c r="E9" s="26" t="s">
        <v>27</v>
      </c>
      <c r="F9" s="34" t="s">
        <v>11</v>
      </c>
      <c r="G9" s="15" t="s">
        <v>28</v>
      </c>
      <c r="H9" s="5"/>
      <c r="I9" s="8"/>
      <c r="J9" s="5"/>
      <c r="K9" s="5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3.5" customHeight="1">
      <c r="A10" s="20"/>
      <c r="B10" s="251">
        <v>7</v>
      </c>
      <c r="C10" s="273"/>
      <c r="D10" s="26" t="s">
        <v>29</v>
      </c>
      <c r="E10" s="26" t="s">
        <v>30</v>
      </c>
      <c r="F10" s="34" t="s">
        <v>11</v>
      </c>
      <c r="G10" s="15" t="s">
        <v>31</v>
      </c>
      <c r="H10" s="5"/>
      <c r="I10" s="8"/>
      <c r="J10" s="5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3.5" customHeight="1">
      <c r="A11" s="20"/>
      <c r="B11" s="251">
        <v>8</v>
      </c>
      <c r="C11" s="272" t="s">
        <v>32</v>
      </c>
      <c r="D11" s="26" t="s">
        <v>33</v>
      </c>
      <c r="E11" s="26" t="s">
        <v>34</v>
      </c>
      <c r="F11" s="34" t="s">
        <v>11</v>
      </c>
      <c r="G11" s="15" t="s">
        <v>35</v>
      </c>
      <c r="H11" s="5"/>
      <c r="I11" s="8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3.5" customHeight="1">
      <c r="A12" s="20"/>
      <c r="B12" s="251">
        <v>9</v>
      </c>
      <c r="C12" s="273"/>
      <c r="D12" s="26" t="s">
        <v>36</v>
      </c>
      <c r="E12" s="26" t="s">
        <v>37</v>
      </c>
      <c r="F12" s="34" t="s">
        <v>11</v>
      </c>
      <c r="G12" s="15" t="s">
        <v>38</v>
      </c>
      <c r="H12" s="5"/>
      <c r="I12" s="8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4.45">
      <c r="A13" s="20"/>
      <c r="B13" s="251">
        <v>10</v>
      </c>
      <c r="C13" s="273"/>
      <c r="D13" s="26" t="s">
        <v>39</v>
      </c>
      <c r="E13" s="26" t="s">
        <v>40</v>
      </c>
      <c r="F13" s="34" t="s">
        <v>11</v>
      </c>
      <c r="G13" s="15" t="s">
        <v>41</v>
      </c>
      <c r="H13" s="5"/>
      <c r="I13" s="8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3.5" customHeight="1">
      <c r="A14" s="20"/>
      <c r="B14" s="251">
        <v>11</v>
      </c>
      <c r="C14" s="272" t="s">
        <v>42</v>
      </c>
      <c r="D14" s="33" t="s">
        <v>43</v>
      </c>
      <c r="E14" s="26" t="s">
        <v>44</v>
      </c>
      <c r="F14" s="34" t="s">
        <v>11</v>
      </c>
      <c r="G14" s="15" t="s">
        <v>45</v>
      </c>
      <c r="H14" s="5"/>
      <c r="I14" s="8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3.5" customHeight="1">
      <c r="A15" s="20"/>
      <c r="B15" s="251">
        <v>12</v>
      </c>
      <c r="C15" s="273"/>
      <c r="D15" s="33" t="s">
        <v>46</v>
      </c>
      <c r="E15" s="26" t="s">
        <v>47</v>
      </c>
      <c r="F15" s="34" t="s">
        <v>11</v>
      </c>
      <c r="G15" s="15" t="s">
        <v>48</v>
      </c>
      <c r="H15" s="5"/>
      <c r="I15" s="8"/>
      <c r="J15" s="5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3.5" customHeight="1">
      <c r="A16" s="20"/>
      <c r="B16" s="251">
        <v>13</v>
      </c>
      <c r="C16" s="273"/>
      <c r="D16" s="33" t="s">
        <v>49</v>
      </c>
      <c r="E16" s="26" t="s">
        <v>50</v>
      </c>
      <c r="F16" s="34" t="s">
        <v>11</v>
      </c>
      <c r="G16" s="15" t="s">
        <v>51</v>
      </c>
      <c r="H16" s="5"/>
      <c r="I16" s="8"/>
      <c r="J16" s="5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3.5" customHeight="1">
      <c r="A17" s="20"/>
      <c r="B17" s="251">
        <v>14</v>
      </c>
      <c r="C17" s="273"/>
      <c r="D17" s="33" t="s">
        <v>52</v>
      </c>
      <c r="E17" s="26" t="s">
        <v>53</v>
      </c>
      <c r="F17" s="34" t="s">
        <v>11</v>
      </c>
      <c r="G17" s="15" t="s">
        <v>54</v>
      </c>
      <c r="H17" s="5"/>
      <c r="I17" s="8"/>
      <c r="J17" s="5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3.5" customHeight="1">
      <c r="A18" s="20"/>
      <c r="B18" s="251">
        <v>15</v>
      </c>
      <c r="C18" s="273"/>
      <c r="D18" s="33" t="s">
        <v>55</v>
      </c>
      <c r="E18" s="26" t="s">
        <v>56</v>
      </c>
      <c r="F18" s="34" t="s">
        <v>11</v>
      </c>
      <c r="G18" s="15" t="s">
        <v>57</v>
      </c>
      <c r="H18" s="5"/>
      <c r="I18" s="8"/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3.5" customHeight="1">
      <c r="A19" s="20"/>
      <c r="B19" s="251">
        <v>16</v>
      </c>
      <c r="C19" s="273"/>
      <c r="D19" s="33" t="s">
        <v>58</v>
      </c>
      <c r="E19" s="26" t="s">
        <v>59</v>
      </c>
      <c r="F19" s="34" t="s">
        <v>11</v>
      </c>
      <c r="G19" s="15" t="s">
        <v>60</v>
      </c>
      <c r="H19" s="5"/>
      <c r="I19" s="8"/>
      <c r="J19" s="5"/>
      <c r="K19" s="5"/>
      <c r="L19" s="9" t="s">
        <v>61</v>
      </c>
      <c r="M19" s="4"/>
      <c r="N19" s="4"/>
      <c r="O19" s="4"/>
      <c r="P19" s="4"/>
      <c r="Q19" s="4"/>
      <c r="R19" s="4"/>
      <c r="S19" s="4"/>
      <c r="T19" s="4"/>
      <c r="U19" s="4"/>
    </row>
    <row r="20" spans="1:21" ht="14.45">
      <c r="A20" s="20"/>
      <c r="B20" s="251">
        <v>17</v>
      </c>
      <c r="C20" s="272" t="s">
        <v>62</v>
      </c>
      <c r="D20" s="33" t="s">
        <v>63</v>
      </c>
      <c r="E20" s="26" t="s">
        <v>64</v>
      </c>
      <c r="F20" s="34" t="s">
        <v>11</v>
      </c>
      <c r="G20" s="15" t="s">
        <v>65</v>
      </c>
      <c r="H20" s="5"/>
      <c r="I20" s="8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3.5" customHeight="1">
      <c r="A21" s="20"/>
      <c r="B21" s="251">
        <v>18</v>
      </c>
      <c r="C21" s="273"/>
      <c r="D21" s="33" t="s">
        <v>66</v>
      </c>
      <c r="E21" s="26" t="s">
        <v>67</v>
      </c>
      <c r="F21" s="34" t="s">
        <v>11</v>
      </c>
      <c r="G21" s="15" t="s">
        <v>68</v>
      </c>
      <c r="H21" s="5"/>
      <c r="I21" s="8"/>
      <c r="J21" s="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4.45">
      <c r="A22" s="20"/>
      <c r="B22" s="251">
        <v>19</v>
      </c>
      <c r="C22" s="273"/>
      <c r="D22" s="26" t="s">
        <v>69</v>
      </c>
      <c r="E22" s="26" t="s">
        <v>70</v>
      </c>
      <c r="F22" s="34" t="s">
        <v>11</v>
      </c>
      <c r="G22" s="15" t="s">
        <v>71</v>
      </c>
      <c r="H22" s="5"/>
      <c r="I22" s="8"/>
      <c r="J22" s="5"/>
      <c r="K22" s="5"/>
      <c r="L22" s="10"/>
      <c r="M22" s="4"/>
      <c r="N22" s="4"/>
      <c r="O22" s="4"/>
      <c r="P22" s="4"/>
      <c r="Q22" s="4"/>
      <c r="R22" s="4"/>
      <c r="S22" s="4"/>
      <c r="T22" s="4"/>
      <c r="U22" s="4"/>
    </row>
    <row r="23" spans="1:21" ht="13.5" customHeight="1">
      <c r="A23" s="20"/>
      <c r="B23" s="251">
        <v>20</v>
      </c>
      <c r="C23" s="273"/>
      <c r="D23" s="26" t="s">
        <v>72</v>
      </c>
      <c r="E23" s="26" t="s">
        <v>73</v>
      </c>
      <c r="F23" s="34" t="s">
        <v>11</v>
      </c>
      <c r="G23" s="15" t="s">
        <v>74</v>
      </c>
      <c r="H23" s="5"/>
      <c r="I23" s="8"/>
      <c r="J23" s="5"/>
      <c r="K23" s="5"/>
      <c r="L23" s="10"/>
      <c r="M23" s="4"/>
      <c r="N23" s="4"/>
      <c r="O23" s="4"/>
      <c r="P23" s="4"/>
      <c r="Q23" s="4"/>
      <c r="R23" s="4"/>
      <c r="S23" s="4"/>
      <c r="T23" s="4"/>
      <c r="U23" s="4"/>
    </row>
    <row r="24" spans="1:21" ht="13.5" customHeight="1">
      <c r="A24" s="20"/>
      <c r="B24" s="251">
        <v>21</v>
      </c>
      <c r="C24" s="273"/>
      <c r="D24" s="26" t="s">
        <v>72</v>
      </c>
      <c r="E24" s="26" t="s">
        <v>75</v>
      </c>
      <c r="F24" s="34" t="s">
        <v>11</v>
      </c>
      <c r="G24" s="15" t="s">
        <v>76</v>
      </c>
      <c r="H24" s="5"/>
      <c r="I24" s="8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3.5" customHeight="1">
      <c r="A25" s="20"/>
      <c r="B25" s="251">
        <v>22</v>
      </c>
      <c r="C25" s="272" t="s">
        <v>77</v>
      </c>
      <c r="D25" s="33" t="s">
        <v>78</v>
      </c>
      <c r="E25" s="26" t="s">
        <v>79</v>
      </c>
      <c r="F25" s="34" t="s">
        <v>11</v>
      </c>
      <c r="G25" s="15" t="s">
        <v>80</v>
      </c>
      <c r="H25" s="5"/>
      <c r="I25" s="8"/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3.5" customHeight="1">
      <c r="A26" s="20"/>
      <c r="B26" s="251">
        <v>23</v>
      </c>
      <c r="C26" s="273"/>
      <c r="D26" s="26" t="s">
        <v>81</v>
      </c>
      <c r="E26" s="26" t="s">
        <v>82</v>
      </c>
      <c r="F26" s="34" t="s">
        <v>11</v>
      </c>
      <c r="G26" s="15" t="s">
        <v>83</v>
      </c>
      <c r="H26" s="5"/>
      <c r="I26" s="8"/>
      <c r="J26" s="5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3.5" customHeight="1">
      <c r="A27" s="20"/>
      <c r="B27" s="251">
        <v>24</v>
      </c>
      <c r="C27" s="273"/>
      <c r="D27" s="26" t="s">
        <v>81</v>
      </c>
      <c r="E27" s="26" t="s">
        <v>84</v>
      </c>
      <c r="F27" s="34" t="s">
        <v>11</v>
      </c>
      <c r="G27" s="15" t="s">
        <v>85</v>
      </c>
      <c r="H27" s="5"/>
      <c r="I27" s="8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3.5" customHeight="1">
      <c r="A28" s="20"/>
      <c r="B28" s="251">
        <v>25</v>
      </c>
      <c r="C28" s="273"/>
      <c r="D28" s="26" t="s">
        <v>86</v>
      </c>
      <c r="E28" s="26" t="s">
        <v>87</v>
      </c>
      <c r="F28" s="34" t="s">
        <v>11</v>
      </c>
      <c r="G28" s="15" t="s">
        <v>88</v>
      </c>
      <c r="H28" s="5"/>
      <c r="I28" s="8"/>
      <c r="J28" s="5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3.5" customHeight="1">
      <c r="A29" s="20"/>
      <c r="B29" s="251">
        <v>26</v>
      </c>
      <c r="C29" s="272" t="s">
        <v>89</v>
      </c>
      <c r="D29" s="26" t="s">
        <v>90</v>
      </c>
      <c r="E29" s="26" t="s">
        <v>91</v>
      </c>
      <c r="F29" s="34" t="s">
        <v>11</v>
      </c>
      <c r="G29" s="15" t="s">
        <v>92</v>
      </c>
      <c r="H29" s="5"/>
      <c r="I29" s="8"/>
      <c r="J29" s="5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3.5" customHeight="1">
      <c r="A30" s="20"/>
      <c r="B30" s="251">
        <v>27</v>
      </c>
      <c r="C30" s="273"/>
      <c r="D30" s="26" t="s">
        <v>93</v>
      </c>
      <c r="E30" s="26" t="s">
        <v>94</v>
      </c>
      <c r="F30" s="34" t="s">
        <v>11</v>
      </c>
      <c r="G30" s="15" t="s">
        <v>95</v>
      </c>
      <c r="H30" s="5"/>
      <c r="I30" s="8"/>
      <c r="J30" s="5"/>
      <c r="K30" s="5"/>
      <c r="L30" s="4" t="s">
        <v>96</v>
      </c>
      <c r="M30" s="4"/>
      <c r="N30" s="4"/>
      <c r="O30" s="4"/>
      <c r="P30" s="4"/>
      <c r="Q30" s="4"/>
      <c r="R30" s="4"/>
      <c r="S30" s="4"/>
      <c r="T30" s="4"/>
      <c r="U30" s="4"/>
    </row>
    <row r="31" spans="1:21" ht="13.5" customHeight="1">
      <c r="A31" s="20"/>
      <c r="B31" s="251">
        <v>28</v>
      </c>
      <c r="C31" s="273"/>
      <c r="D31" s="26" t="s">
        <v>97</v>
      </c>
      <c r="E31" s="26" t="s">
        <v>98</v>
      </c>
      <c r="F31" s="34" t="s">
        <v>11</v>
      </c>
      <c r="G31" s="15" t="s">
        <v>99</v>
      </c>
      <c r="H31" s="5"/>
      <c r="I31" s="8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3.5" customHeight="1">
      <c r="A32" s="20"/>
      <c r="B32" s="251">
        <v>29</v>
      </c>
      <c r="C32" s="272" t="s">
        <v>100</v>
      </c>
      <c r="D32" s="26" t="s">
        <v>101</v>
      </c>
      <c r="E32" s="26" t="s">
        <v>102</v>
      </c>
      <c r="F32" s="34" t="s">
        <v>11</v>
      </c>
      <c r="G32" s="15" t="s">
        <v>103</v>
      </c>
      <c r="H32" s="5"/>
      <c r="I32" s="8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25.5" customHeight="1">
      <c r="A33" s="20"/>
      <c r="B33" s="251">
        <v>30</v>
      </c>
      <c r="C33" s="273"/>
      <c r="D33" s="26" t="s">
        <v>104</v>
      </c>
      <c r="E33" s="26" t="s">
        <v>105</v>
      </c>
      <c r="F33" s="34" t="s">
        <v>11</v>
      </c>
      <c r="G33" s="15" t="s">
        <v>106</v>
      </c>
      <c r="H33" s="5"/>
      <c r="I33" s="8"/>
      <c r="J33" s="5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3.5" customHeight="1">
      <c r="A34" s="20"/>
      <c r="B34" s="251">
        <v>31</v>
      </c>
      <c r="C34" s="272" t="s">
        <v>107</v>
      </c>
      <c r="D34" s="26" t="s">
        <v>108</v>
      </c>
      <c r="E34" s="26" t="s">
        <v>109</v>
      </c>
      <c r="F34" s="34" t="s">
        <v>11</v>
      </c>
      <c r="G34" s="15" t="s">
        <v>110</v>
      </c>
      <c r="H34" s="5"/>
      <c r="I34" s="8"/>
      <c r="J34" s="5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3.5" customHeight="1">
      <c r="A35" s="20"/>
      <c r="B35" s="251">
        <v>32</v>
      </c>
      <c r="C35" s="273"/>
      <c r="D35" s="26" t="s">
        <v>111</v>
      </c>
      <c r="E35" s="26" t="s">
        <v>112</v>
      </c>
      <c r="F35" s="34" t="s">
        <v>11</v>
      </c>
      <c r="G35" s="15" t="s">
        <v>113</v>
      </c>
      <c r="H35" s="5"/>
      <c r="I35" s="8"/>
      <c r="J35" s="5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3.5" customHeight="1">
      <c r="A36" s="20"/>
      <c r="B36" s="251">
        <v>33</v>
      </c>
      <c r="C36" s="273"/>
      <c r="D36" s="26" t="s">
        <v>114</v>
      </c>
      <c r="E36" s="26" t="s">
        <v>115</v>
      </c>
      <c r="F36" s="34" t="s">
        <v>11</v>
      </c>
      <c r="G36" s="15" t="s">
        <v>116</v>
      </c>
      <c r="H36" s="5"/>
      <c r="I36" s="8"/>
      <c r="J36" s="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3.5" customHeight="1">
      <c r="A37" s="20"/>
      <c r="B37" s="251">
        <v>34</v>
      </c>
      <c r="C37" s="273"/>
      <c r="D37" s="26" t="s">
        <v>117</v>
      </c>
      <c r="E37" s="26" t="s">
        <v>118</v>
      </c>
      <c r="F37" s="34" t="s">
        <v>11</v>
      </c>
      <c r="G37" s="15" t="s">
        <v>119</v>
      </c>
      <c r="H37" s="5"/>
      <c r="I37" s="8"/>
      <c r="J37" s="5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3.5" customHeight="1">
      <c r="A38" s="20"/>
      <c r="B38" s="251">
        <v>35</v>
      </c>
      <c r="C38" s="273"/>
      <c r="D38" s="26" t="s">
        <v>120</v>
      </c>
      <c r="E38" s="26" t="s">
        <v>121</v>
      </c>
      <c r="F38" s="34" t="s">
        <v>11</v>
      </c>
      <c r="G38" s="15" t="s">
        <v>122</v>
      </c>
      <c r="H38" s="5"/>
      <c r="I38" s="8"/>
      <c r="J38" s="5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3.5" customHeight="1">
      <c r="A39" s="20"/>
      <c r="B39" s="251">
        <v>36</v>
      </c>
      <c r="C39" s="251" t="s">
        <v>123</v>
      </c>
      <c r="D39" s="26" t="s">
        <v>124</v>
      </c>
      <c r="E39" s="26" t="s">
        <v>125</v>
      </c>
      <c r="F39" s="16" t="s">
        <v>6</v>
      </c>
      <c r="G39" s="15" t="s">
        <v>126</v>
      </c>
      <c r="H39" s="14"/>
      <c r="I39" s="11"/>
      <c r="J39" s="11"/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3.5" customHeight="1">
      <c r="A40" s="20"/>
      <c r="B40" s="251">
        <v>37</v>
      </c>
      <c r="C40" s="251" t="s">
        <v>123</v>
      </c>
      <c r="D40" s="26" t="s">
        <v>127</v>
      </c>
      <c r="E40" s="26" t="s">
        <v>128</v>
      </c>
      <c r="F40" s="16" t="s">
        <v>6</v>
      </c>
      <c r="G40" s="15" t="s">
        <v>129</v>
      </c>
      <c r="H40" s="14"/>
      <c r="I40" s="11"/>
      <c r="J40" s="11"/>
      <c r="K40" s="11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3.5" customHeight="1">
      <c r="A41" s="20"/>
      <c r="B41" s="251">
        <v>38</v>
      </c>
      <c r="C41" s="251" t="s">
        <v>123</v>
      </c>
      <c r="D41" s="26" t="s">
        <v>130</v>
      </c>
      <c r="E41" s="26" t="s">
        <v>131</v>
      </c>
      <c r="F41" s="34" t="s">
        <v>6</v>
      </c>
      <c r="G41" s="15" t="s">
        <v>132</v>
      </c>
      <c r="H41" s="14"/>
      <c r="I41" s="11"/>
      <c r="J41" s="11"/>
      <c r="K41" s="11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3.5" customHeight="1">
      <c r="A42" s="20"/>
      <c r="B42" s="251">
        <v>39</v>
      </c>
      <c r="C42" s="251" t="s">
        <v>123</v>
      </c>
      <c r="D42" s="26" t="s">
        <v>133</v>
      </c>
      <c r="E42" s="26" t="s">
        <v>134</v>
      </c>
      <c r="F42" s="34" t="s">
        <v>6</v>
      </c>
      <c r="G42" s="15" t="s">
        <v>135</v>
      </c>
      <c r="H42" s="14"/>
      <c r="I42" s="11"/>
      <c r="J42" s="11"/>
      <c r="K42" s="11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3.5" customHeight="1">
      <c r="A43" s="20"/>
      <c r="B43" s="251">
        <v>40</v>
      </c>
      <c r="C43" s="251" t="s">
        <v>123</v>
      </c>
      <c r="D43" s="26" t="s">
        <v>136</v>
      </c>
      <c r="E43" s="26" t="s">
        <v>137</v>
      </c>
      <c r="F43" s="34" t="s">
        <v>138</v>
      </c>
      <c r="G43" s="18"/>
      <c r="H43" s="5"/>
      <c r="I43" s="5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3.5" customHeight="1">
      <c r="A44" s="20"/>
      <c r="B44" s="251">
        <v>41</v>
      </c>
      <c r="C44" s="251" t="s">
        <v>123</v>
      </c>
      <c r="D44" s="26" t="s">
        <v>139</v>
      </c>
      <c r="E44" s="26" t="s">
        <v>140</v>
      </c>
      <c r="F44" s="34" t="s">
        <v>138</v>
      </c>
      <c r="G44" s="15" t="s">
        <v>141</v>
      </c>
      <c r="H44" s="5"/>
      <c r="I44" s="5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3.5" customHeight="1">
      <c r="A45" s="20"/>
      <c r="B45" s="251">
        <v>42</v>
      </c>
      <c r="C45" s="251" t="s">
        <v>123</v>
      </c>
      <c r="D45" s="25" t="s">
        <v>142</v>
      </c>
      <c r="E45" s="26" t="s">
        <v>143</v>
      </c>
      <c r="F45" s="34" t="s">
        <v>138</v>
      </c>
      <c r="G45" s="15" t="s">
        <v>144</v>
      </c>
      <c r="H45" s="5"/>
      <c r="I45" s="5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3.5" customHeight="1">
      <c r="A46" s="20"/>
      <c r="B46" s="251">
        <v>43</v>
      </c>
      <c r="C46" s="251" t="s">
        <v>123</v>
      </c>
      <c r="D46" s="26" t="s">
        <v>145</v>
      </c>
      <c r="E46" s="26" t="s">
        <v>146</v>
      </c>
      <c r="F46" s="34" t="s">
        <v>138</v>
      </c>
      <c r="G46" s="15" t="s">
        <v>147</v>
      </c>
      <c r="H46" s="5"/>
      <c r="I46" s="5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3.5" customHeight="1">
      <c r="A47" s="20"/>
      <c r="B47" s="251">
        <v>44</v>
      </c>
      <c r="C47" s="272" t="s">
        <v>148</v>
      </c>
      <c r="D47" s="26" t="s">
        <v>149</v>
      </c>
      <c r="E47" s="26" t="s">
        <v>150</v>
      </c>
      <c r="F47" s="34" t="s">
        <v>11</v>
      </c>
      <c r="G47" s="15" t="s">
        <v>151</v>
      </c>
      <c r="H47" s="5"/>
      <c r="I47" s="8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3.5" customHeight="1">
      <c r="A48" s="20"/>
      <c r="B48" s="251">
        <v>45</v>
      </c>
      <c r="C48" s="273"/>
      <c r="D48" s="26" t="s">
        <v>152</v>
      </c>
      <c r="E48" s="26" t="s">
        <v>153</v>
      </c>
      <c r="F48" s="34" t="s">
        <v>11</v>
      </c>
      <c r="G48" s="15" t="s">
        <v>154</v>
      </c>
      <c r="H48" s="5"/>
      <c r="I48" s="8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4.45">
      <c r="A49" s="20"/>
      <c r="B49" s="251">
        <v>46</v>
      </c>
      <c r="C49" s="272" t="s">
        <v>155</v>
      </c>
      <c r="D49" s="26" t="s">
        <v>156</v>
      </c>
      <c r="E49" s="26" t="s">
        <v>157</v>
      </c>
      <c r="F49" s="34" t="s">
        <v>11</v>
      </c>
      <c r="G49" s="15" t="s">
        <v>158</v>
      </c>
      <c r="H49" s="5"/>
      <c r="I49" s="8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3.5" customHeight="1">
      <c r="A50" s="20"/>
      <c r="B50" s="251">
        <v>47</v>
      </c>
      <c r="C50" s="273"/>
      <c r="D50" s="26" t="s">
        <v>159</v>
      </c>
      <c r="E50" s="26" t="s">
        <v>160</v>
      </c>
      <c r="F50" s="34" t="s">
        <v>11</v>
      </c>
      <c r="G50" s="15" t="s">
        <v>161</v>
      </c>
      <c r="H50" s="5"/>
      <c r="I50" s="8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3.5" customHeight="1">
      <c r="A51" s="20"/>
      <c r="B51" s="251">
        <v>48</v>
      </c>
      <c r="C51" s="273"/>
      <c r="D51" s="26" t="s">
        <v>162</v>
      </c>
      <c r="E51" s="26" t="s">
        <v>163</v>
      </c>
      <c r="F51" s="34" t="s">
        <v>11</v>
      </c>
      <c r="G51" s="15" t="s">
        <v>164</v>
      </c>
      <c r="H51" s="5"/>
      <c r="I51" s="8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3.5" customHeight="1">
      <c r="A52" s="20"/>
      <c r="B52" s="251">
        <v>49</v>
      </c>
      <c r="C52" s="273"/>
      <c r="D52" s="26" t="s">
        <v>165</v>
      </c>
      <c r="E52" s="26" t="s">
        <v>166</v>
      </c>
      <c r="F52" s="34" t="s">
        <v>11</v>
      </c>
      <c r="G52" s="107" t="s">
        <v>167</v>
      </c>
      <c r="H52" s="5"/>
      <c r="I52" s="8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3.5" customHeight="1">
      <c r="A53" s="20"/>
      <c r="B53" s="251">
        <v>50</v>
      </c>
      <c r="C53" s="272" t="s">
        <v>168</v>
      </c>
      <c r="D53" s="26" t="s">
        <v>169</v>
      </c>
      <c r="E53" s="26" t="s">
        <v>170</v>
      </c>
      <c r="F53" s="34" t="s">
        <v>11</v>
      </c>
      <c r="G53" s="15" t="s">
        <v>171</v>
      </c>
      <c r="H53" s="5"/>
      <c r="I53" s="8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3.5" customHeight="1">
      <c r="A54" s="20"/>
      <c r="B54" s="251">
        <v>51</v>
      </c>
      <c r="C54" s="273"/>
      <c r="D54" s="26" t="s">
        <v>172</v>
      </c>
      <c r="E54" s="26" t="s">
        <v>173</v>
      </c>
      <c r="F54" s="34" t="s">
        <v>11</v>
      </c>
      <c r="G54" s="15" t="s">
        <v>174</v>
      </c>
      <c r="H54" s="5"/>
      <c r="I54" s="8"/>
      <c r="J54" s="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3.5" customHeight="1">
      <c r="A55" s="20"/>
      <c r="B55" s="251">
        <v>52</v>
      </c>
      <c r="C55" s="273"/>
      <c r="D55" s="26" t="s">
        <v>175</v>
      </c>
      <c r="E55" s="26" t="s">
        <v>176</v>
      </c>
      <c r="F55" s="34" t="s">
        <v>11</v>
      </c>
      <c r="G55" s="15" t="s">
        <v>177</v>
      </c>
      <c r="H55" s="5"/>
      <c r="I55" s="8"/>
      <c r="J55" s="5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4.45">
      <c r="A56" s="20"/>
      <c r="B56" s="251">
        <v>53</v>
      </c>
      <c r="C56" s="273"/>
      <c r="D56" s="26" t="s">
        <v>178</v>
      </c>
      <c r="E56" s="26" t="s">
        <v>179</v>
      </c>
      <c r="F56" s="34" t="s">
        <v>11</v>
      </c>
      <c r="G56" s="15" t="s">
        <v>180</v>
      </c>
      <c r="H56" s="14"/>
      <c r="I56" s="11"/>
      <c r="J56" s="11"/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3.5" customHeight="1">
      <c r="A57" s="20"/>
      <c r="B57" s="251">
        <v>54</v>
      </c>
      <c r="C57" s="273"/>
      <c r="D57" s="26" t="s">
        <v>181</v>
      </c>
      <c r="E57" s="26"/>
      <c r="F57" s="34"/>
      <c r="G57" s="15" t="s">
        <v>182</v>
      </c>
      <c r="H57" s="14"/>
      <c r="I57" s="11"/>
      <c r="J57" s="11"/>
      <c r="K57" s="11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3.5" customHeight="1">
      <c r="A58" s="20"/>
      <c r="B58" s="251">
        <v>55</v>
      </c>
      <c r="C58" s="272" t="s">
        <v>183</v>
      </c>
      <c r="D58" s="26" t="s">
        <v>184</v>
      </c>
      <c r="E58" s="26" t="s">
        <v>185</v>
      </c>
      <c r="F58" s="34" t="s">
        <v>11</v>
      </c>
      <c r="G58" s="15" t="s">
        <v>186</v>
      </c>
      <c r="H58" s="14"/>
      <c r="I58" s="12"/>
      <c r="J58" s="11"/>
      <c r="K58" s="11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24" customHeight="1">
      <c r="A59" s="20"/>
      <c r="B59" s="251">
        <v>56</v>
      </c>
      <c r="C59" s="273"/>
      <c r="D59" s="26" t="s">
        <v>187</v>
      </c>
      <c r="E59" s="26" t="s">
        <v>188</v>
      </c>
      <c r="F59" s="34" t="s">
        <v>11</v>
      </c>
      <c r="G59" s="15" t="s">
        <v>186</v>
      </c>
      <c r="H59" s="14"/>
      <c r="I59" s="12"/>
      <c r="J59" s="11"/>
      <c r="K59" s="11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3.5" customHeight="1">
      <c r="A60" s="20"/>
      <c r="B60" s="251">
        <v>57</v>
      </c>
      <c r="C60" s="273"/>
      <c r="D60" s="26" t="s">
        <v>189</v>
      </c>
      <c r="E60" s="26" t="s">
        <v>190</v>
      </c>
      <c r="F60" s="34" t="s">
        <v>11</v>
      </c>
      <c r="G60" s="15" t="s">
        <v>191</v>
      </c>
      <c r="H60" s="14"/>
      <c r="I60" s="12"/>
      <c r="J60" s="11"/>
      <c r="K60" s="11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3.5" customHeight="1">
      <c r="A61" s="20"/>
      <c r="B61" s="251">
        <v>58</v>
      </c>
      <c r="C61" s="273"/>
      <c r="D61" s="26" t="s">
        <v>192</v>
      </c>
      <c r="E61" s="26" t="s">
        <v>193</v>
      </c>
      <c r="F61" s="34" t="s">
        <v>11</v>
      </c>
      <c r="G61" s="107" t="s">
        <v>194</v>
      </c>
      <c r="H61" s="14"/>
      <c r="I61" s="12"/>
      <c r="J61" s="11"/>
      <c r="K61" s="11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3.5" customHeight="1">
      <c r="A62" s="20"/>
      <c r="B62" s="251">
        <v>59</v>
      </c>
      <c r="C62" s="272" t="s">
        <v>195</v>
      </c>
      <c r="D62" s="26" t="s">
        <v>196</v>
      </c>
      <c r="E62" s="26" t="s">
        <v>197</v>
      </c>
      <c r="F62" s="34" t="s">
        <v>11</v>
      </c>
      <c r="G62" s="15" t="s">
        <v>198</v>
      </c>
      <c r="H62" s="14"/>
      <c r="I62" s="12"/>
      <c r="J62" s="11"/>
      <c r="K62" s="11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3.5" customHeight="1">
      <c r="A63" s="20"/>
      <c r="B63" s="251">
        <v>60</v>
      </c>
      <c r="C63" s="273"/>
      <c r="D63" s="26" t="s">
        <v>199</v>
      </c>
      <c r="E63" s="26" t="s">
        <v>200</v>
      </c>
      <c r="F63" s="34" t="s">
        <v>11</v>
      </c>
      <c r="G63" s="15" t="s">
        <v>201</v>
      </c>
      <c r="H63" s="14"/>
      <c r="I63" s="12"/>
      <c r="J63" s="11"/>
      <c r="K63" s="11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3.5" customHeight="1">
      <c r="A64" s="20"/>
      <c r="B64" s="251">
        <v>61</v>
      </c>
      <c r="C64" s="273"/>
      <c r="D64" s="26" t="s">
        <v>202</v>
      </c>
      <c r="E64" s="26" t="s">
        <v>203</v>
      </c>
      <c r="F64" s="34" t="s">
        <v>11</v>
      </c>
      <c r="G64" s="15" t="s">
        <v>204</v>
      </c>
      <c r="H64" s="5"/>
      <c r="I64" s="8"/>
      <c r="J64" s="5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3.5" customHeight="1">
      <c r="A65" s="20"/>
      <c r="B65" s="251">
        <v>62</v>
      </c>
      <c r="C65" s="273"/>
      <c r="D65" s="26" t="s">
        <v>205</v>
      </c>
      <c r="E65" s="26" t="s">
        <v>206</v>
      </c>
      <c r="F65" s="34" t="s">
        <v>11</v>
      </c>
      <c r="G65" s="15" t="s">
        <v>207</v>
      </c>
      <c r="H65" s="5"/>
      <c r="I65" s="8"/>
      <c r="J65" s="5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3.5" customHeight="1">
      <c r="A66" s="20"/>
      <c r="B66" s="251">
        <v>63</v>
      </c>
      <c r="C66" s="272" t="s">
        <v>208</v>
      </c>
      <c r="D66" s="26" t="s">
        <v>209</v>
      </c>
      <c r="E66" s="26" t="s">
        <v>210</v>
      </c>
      <c r="F66" s="34" t="s">
        <v>11</v>
      </c>
      <c r="G66" s="15" t="s">
        <v>211</v>
      </c>
      <c r="H66" s="5"/>
      <c r="I66" s="8"/>
      <c r="J66" s="5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3.5" customHeight="1">
      <c r="A67" s="20"/>
      <c r="B67" s="251">
        <v>64</v>
      </c>
      <c r="C67" s="273"/>
      <c r="D67" s="26" t="s">
        <v>212</v>
      </c>
      <c r="E67" s="26" t="s">
        <v>213</v>
      </c>
      <c r="F67" s="34" t="s">
        <v>11</v>
      </c>
      <c r="G67" s="15" t="s">
        <v>214</v>
      </c>
      <c r="H67" s="5"/>
      <c r="I67" s="8"/>
      <c r="J67" s="5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3.5" customHeight="1">
      <c r="A68" s="20"/>
      <c r="B68" s="251">
        <v>65</v>
      </c>
      <c r="C68" s="273"/>
      <c r="D68" s="31" t="s">
        <v>215</v>
      </c>
      <c r="E68" s="31"/>
      <c r="F68" s="35" t="s">
        <v>11</v>
      </c>
      <c r="G68" s="15" t="s">
        <v>216</v>
      </c>
      <c r="H68" s="5"/>
      <c r="I68" s="8"/>
      <c r="J68" s="5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3.5" customHeight="1">
      <c r="A69" s="20"/>
      <c r="B69" s="251">
        <v>66</v>
      </c>
      <c r="C69" s="273"/>
      <c r="D69" s="26" t="s">
        <v>217</v>
      </c>
      <c r="E69" s="26"/>
      <c r="F69" s="34" t="s">
        <v>11</v>
      </c>
      <c r="G69" s="15" t="s">
        <v>218</v>
      </c>
      <c r="H69" s="5"/>
      <c r="I69" s="8"/>
      <c r="J69" s="5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3.5" customHeight="1">
      <c r="A70" s="20"/>
      <c r="B70" s="251">
        <v>67</v>
      </c>
      <c r="C70" s="273"/>
      <c r="D70" s="26" t="s">
        <v>219</v>
      </c>
      <c r="E70" s="26"/>
      <c r="F70" s="34" t="s">
        <v>11</v>
      </c>
      <c r="G70" s="15" t="s">
        <v>220</v>
      </c>
      <c r="H70" s="5"/>
      <c r="I70" s="8"/>
      <c r="J70" s="5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3.5" customHeight="1">
      <c r="A71" s="20"/>
      <c r="B71" s="251">
        <v>68</v>
      </c>
      <c r="C71" s="273"/>
      <c r="D71" s="26" t="s">
        <v>221</v>
      </c>
      <c r="E71" s="26"/>
      <c r="F71" s="34" t="s">
        <v>11</v>
      </c>
      <c r="G71" s="15" t="s">
        <v>222</v>
      </c>
      <c r="H71" s="5"/>
      <c r="I71" s="8"/>
      <c r="J71" s="5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3.5" customHeight="1">
      <c r="A72" s="20"/>
      <c r="B72" s="251">
        <v>69</v>
      </c>
      <c r="C72" s="273"/>
      <c r="D72" s="26" t="s">
        <v>223</v>
      </c>
      <c r="E72" s="26"/>
      <c r="F72" s="34" t="s">
        <v>11</v>
      </c>
      <c r="G72" s="15" t="s">
        <v>224</v>
      </c>
      <c r="H72" s="13"/>
      <c r="I72" s="13"/>
      <c r="J72" s="13"/>
      <c r="K72" s="13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3.5" customHeight="1">
      <c r="A73" s="20"/>
      <c r="B73" s="251">
        <v>70</v>
      </c>
      <c r="C73" s="273"/>
      <c r="D73" s="26" t="s">
        <v>225</v>
      </c>
      <c r="E73" s="26" t="s">
        <v>226</v>
      </c>
      <c r="F73" s="34" t="s">
        <v>227</v>
      </c>
      <c r="G73" s="15" t="s">
        <v>228</v>
      </c>
      <c r="H73" s="5"/>
      <c r="I73" s="8"/>
      <c r="J73" s="5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3.5" customHeight="1">
      <c r="A74" s="20"/>
      <c r="B74" s="251">
        <v>71</v>
      </c>
      <c r="C74" s="272" t="s">
        <v>229</v>
      </c>
      <c r="D74" s="26" t="s">
        <v>230</v>
      </c>
      <c r="E74" s="26" t="s">
        <v>231</v>
      </c>
      <c r="F74" s="34" t="s">
        <v>11</v>
      </c>
      <c r="G74" s="15" t="s">
        <v>232</v>
      </c>
      <c r="H74" s="5"/>
      <c r="I74" s="8"/>
      <c r="J74" s="5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3.5" customHeight="1">
      <c r="A75" s="20"/>
      <c r="B75" s="251">
        <v>72</v>
      </c>
      <c r="C75" s="272"/>
      <c r="D75" s="26" t="s">
        <v>233</v>
      </c>
      <c r="E75" s="26" t="s">
        <v>234</v>
      </c>
      <c r="F75" s="34" t="s">
        <v>11</v>
      </c>
      <c r="G75" s="15" t="s">
        <v>235</v>
      </c>
      <c r="H75" s="5"/>
      <c r="I75" s="5"/>
      <c r="J75" s="5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3.5" customHeight="1">
      <c r="A76" s="20"/>
      <c r="B76" s="251">
        <v>73</v>
      </c>
      <c r="C76" s="272"/>
      <c r="D76" s="26" t="s">
        <v>236</v>
      </c>
      <c r="E76" s="26" t="s">
        <v>237</v>
      </c>
      <c r="F76" s="34" t="s">
        <v>11</v>
      </c>
      <c r="G76" s="15" t="s">
        <v>238</v>
      </c>
      <c r="H76" s="5"/>
      <c r="I76" s="8"/>
      <c r="J76" s="5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3.5" customHeight="1">
      <c r="A77" s="20"/>
      <c r="B77" s="251">
        <v>74</v>
      </c>
      <c r="C77" s="272" t="s">
        <v>239</v>
      </c>
      <c r="D77" s="26" t="s">
        <v>240</v>
      </c>
      <c r="E77" s="36" t="s">
        <v>241</v>
      </c>
      <c r="F77" s="34" t="s">
        <v>11</v>
      </c>
      <c r="G77" s="15" t="s">
        <v>242</v>
      </c>
      <c r="H77" s="5"/>
      <c r="I77" s="8"/>
      <c r="J77" s="5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34.5" customHeight="1">
      <c r="A78" s="20"/>
      <c r="B78" s="251">
        <v>75</v>
      </c>
      <c r="C78" s="272"/>
      <c r="D78" s="26" t="s">
        <v>243</v>
      </c>
      <c r="E78" s="26" t="s">
        <v>244</v>
      </c>
      <c r="F78" s="34" t="s">
        <v>11</v>
      </c>
      <c r="G78" s="15" t="s">
        <v>245</v>
      </c>
      <c r="H78" s="5"/>
      <c r="I78" s="8"/>
      <c r="J78" s="5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24" customHeight="1">
      <c r="A79" s="20"/>
      <c r="B79" s="251">
        <v>76</v>
      </c>
      <c r="C79" s="272"/>
      <c r="D79" s="26" t="s">
        <v>246</v>
      </c>
      <c r="E79" s="26" t="s">
        <v>247</v>
      </c>
      <c r="F79" s="34" t="s">
        <v>11</v>
      </c>
      <c r="G79" s="37" t="s">
        <v>248</v>
      </c>
      <c r="H79" s="5"/>
      <c r="I79" s="8"/>
      <c r="J79" s="5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4.45">
      <c r="A80" s="20"/>
      <c r="B80" s="251">
        <v>77</v>
      </c>
      <c r="C80" s="272"/>
      <c r="D80" s="26" t="s">
        <v>249</v>
      </c>
      <c r="E80" s="26" t="s">
        <v>250</v>
      </c>
      <c r="F80" s="34" t="s">
        <v>11</v>
      </c>
      <c r="G80" s="15" t="s">
        <v>251</v>
      </c>
      <c r="H80" s="5"/>
      <c r="I80" s="5"/>
      <c r="J80" s="5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24" customHeight="1">
      <c r="A81" s="20"/>
      <c r="B81" s="251">
        <v>78</v>
      </c>
      <c r="C81" s="272"/>
      <c r="D81" s="26" t="s">
        <v>252</v>
      </c>
      <c r="E81" s="26" t="s">
        <v>253</v>
      </c>
      <c r="F81" s="34" t="s">
        <v>11</v>
      </c>
      <c r="G81" s="15" t="s">
        <v>254</v>
      </c>
      <c r="H81" s="5"/>
      <c r="I81" s="5"/>
      <c r="J81" s="11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3.5" customHeight="1">
      <c r="A82" s="20"/>
      <c r="B82" s="251">
        <v>79</v>
      </c>
      <c r="C82" s="272" t="s">
        <v>255</v>
      </c>
      <c r="D82" s="26" t="s">
        <v>256</v>
      </c>
      <c r="E82" s="26" t="s">
        <v>257</v>
      </c>
      <c r="F82" s="34" t="s">
        <v>11</v>
      </c>
      <c r="G82" s="15" t="s">
        <v>258</v>
      </c>
      <c r="H82" s="5"/>
      <c r="I82" s="5"/>
      <c r="J82" s="5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3.5" customHeight="1">
      <c r="A83" s="20"/>
      <c r="B83" s="251">
        <v>80</v>
      </c>
      <c r="C83" s="272"/>
      <c r="D83" s="26" t="s">
        <v>259</v>
      </c>
      <c r="E83" s="26" t="s">
        <v>260</v>
      </c>
      <c r="F83" s="34" t="s">
        <v>11</v>
      </c>
      <c r="G83" s="15" t="s">
        <v>261</v>
      </c>
      <c r="H83" s="5"/>
      <c r="I83" s="5"/>
      <c r="J83" s="5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3.5" customHeight="1">
      <c r="A84" s="20"/>
      <c r="B84" s="251">
        <v>81</v>
      </c>
      <c r="C84" s="272"/>
      <c r="D84" s="26" t="s">
        <v>262</v>
      </c>
      <c r="E84" s="26" t="s">
        <v>263</v>
      </c>
      <c r="F84" s="34" t="s">
        <v>11</v>
      </c>
      <c r="G84" s="15" t="s">
        <v>264</v>
      </c>
      <c r="H84" s="5"/>
      <c r="I84" s="5"/>
      <c r="J84" s="5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3.5" customHeight="1">
      <c r="A85" s="20"/>
      <c r="B85" s="251">
        <v>82</v>
      </c>
      <c r="C85" s="272"/>
      <c r="D85" s="26" t="s">
        <v>262</v>
      </c>
      <c r="E85" s="26" t="s">
        <v>265</v>
      </c>
      <c r="F85" s="34" t="s">
        <v>11</v>
      </c>
      <c r="G85" s="15" t="s">
        <v>266</v>
      </c>
      <c r="H85" s="5"/>
      <c r="I85" s="5"/>
      <c r="J85" s="5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3.5" customHeight="1">
      <c r="A86" s="20"/>
      <c r="B86" s="251">
        <v>83</v>
      </c>
      <c r="C86" s="272"/>
      <c r="D86" s="26" t="s">
        <v>267</v>
      </c>
      <c r="E86" s="26" t="s">
        <v>268</v>
      </c>
      <c r="F86" s="34" t="s">
        <v>11</v>
      </c>
      <c r="G86" s="15" t="s">
        <v>269</v>
      </c>
      <c r="H86" s="5"/>
      <c r="I86" s="5"/>
      <c r="J86" s="5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13.5" customHeight="1">
      <c r="A87" s="20"/>
      <c r="B87" s="251">
        <v>84</v>
      </c>
      <c r="C87" s="272"/>
      <c r="D87" s="26" t="s">
        <v>270</v>
      </c>
      <c r="E87" s="26" t="s">
        <v>271</v>
      </c>
      <c r="F87" s="34" t="s">
        <v>11</v>
      </c>
      <c r="G87" s="15" t="s">
        <v>272</v>
      </c>
      <c r="H87" s="5"/>
      <c r="I87" s="5"/>
      <c r="J87" s="5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26.25" customHeight="1">
      <c r="A88" s="20"/>
      <c r="B88" s="251">
        <v>85</v>
      </c>
      <c r="C88" s="272" t="s">
        <v>273</v>
      </c>
      <c r="D88" s="26" t="s">
        <v>274</v>
      </c>
      <c r="E88" s="26" t="s">
        <v>275</v>
      </c>
      <c r="F88" s="17" t="s">
        <v>11</v>
      </c>
      <c r="G88" s="15" t="s">
        <v>276</v>
      </c>
      <c r="H88" s="5"/>
      <c r="I88" s="5"/>
      <c r="J88" s="5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26.25" customHeight="1">
      <c r="A89" s="20"/>
      <c r="B89" s="251">
        <v>86</v>
      </c>
      <c r="C89" s="272"/>
      <c r="D89" s="26" t="s">
        <v>277</v>
      </c>
      <c r="E89" s="26" t="s">
        <v>131</v>
      </c>
      <c r="F89" s="17" t="s">
        <v>227</v>
      </c>
      <c r="G89" s="15" t="s">
        <v>278</v>
      </c>
      <c r="H89" s="5"/>
      <c r="I89" s="5"/>
      <c r="J89" s="5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4.45">
      <c r="A90" s="20"/>
      <c r="B90" s="251">
        <v>87</v>
      </c>
      <c r="C90" s="272"/>
      <c r="D90" s="26"/>
      <c r="E90" s="26"/>
      <c r="F90" s="251"/>
      <c r="G90" s="19"/>
      <c r="H90" s="5"/>
      <c r="I90" s="5"/>
      <c r="J90" s="5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26.25" customHeight="1">
      <c r="A91" s="20"/>
      <c r="B91" s="251">
        <v>88</v>
      </c>
      <c r="C91" s="272"/>
      <c r="D91" s="26" t="s">
        <v>279</v>
      </c>
      <c r="E91" s="26"/>
      <c r="F91" s="17"/>
      <c r="G91" s="15" t="s">
        <v>280</v>
      </c>
      <c r="H91" s="5"/>
      <c r="I91" s="5"/>
      <c r="J91" s="5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54" customHeight="1">
      <c r="A92" s="20"/>
      <c r="B92" s="251">
        <v>89</v>
      </c>
      <c r="C92" s="272"/>
      <c r="D92" s="26" t="s">
        <v>281</v>
      </c>
      <c r="E92" s="26" t="s">
        <v>282</v>
      </c>
      <c r="F92" s="17" t="s">
        <v>227</v>
      </c>
      <c r="G92" s="15" t="s">
        <v>283</v>
      </c>
      <c r="H92" s="5"/>
      <c r="I92" s="5"/>
      <c r="J92" s="5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26.1">
      <c r="A93" s="20"/>
      <c r="B93" s="251">
        <v>90</v>
      </c>
      <c r="C93" s="272" t="s">
        <v>284</v>
      </c>
      <c r="D93" s="26" t="s">
        <v>285</v>
      </c>
      <c r="E93" s="26" t="s">
        <v>286</v>
      </c>
      <c r="F93" s="17" t="s">
        <v>227</v>
      </c>
      <c r="G93" s="15" t="s">
        <v>287</v>
      </c>
      <c r="H93" s="5"/>
      <c r="I93" s="5"/>
      <c r="J93" s="5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4.45">
      <c r="A94" s="20"/>
      <c r="B94" s="251">
        <v>91</v>
      </c>
      <c r="C94" s="272"/>
      <c r="D94" s="28" t="s">
        <v>288</v>
      </c>
      <c r="E94" s="28" t="s">
        <v>289</v>
      </c>
      <c r="F94" s="17" t="s">
        <v>227</v>
      </c>
      <c r="G94" s="15" t="s">
        <v>290</v>
      </c>
      <c r="H94" s="5"/>
      <c r="I94" s="5"/>
      <c r="J94" s="5"/>
      <c r="K94" s="5"/>
      <c r="L94" s="4"/>
      <c r="M94" s="4" t="s">
        <v>291</v>
      </c>
      <c r="N94" s="4"/>
      <c r="O94" s="4"/>
      <c r="P94" s="4"/>
      <c r="Q94" s="4"/>
      <c r="R94" s="4"/>
      <c r="S94" s="4"/>
      <c r="T94" s="4"/>
      <c r="U94" s="4"/>
    </row>
    <row r="95" spans="1:21" ht="31.5" customHeight="1">
      <c r="A95" s="20"/>
      <c r="B95" s="251">
        <v>92</v>
      </c>
      <c r="C95" s="272"/>
      <c r="D95" s="26" t="s">
        <v>292</v>
      </c>
      <c r="E95" s="26" t="s">
        <v>293</v>
      </c>
      <c r="F95" s="17" t="s">
        <v>227</v>
      </c>
      <c r="G95" s="15" t="s">
        <v>294</v>
      </c>
      <c r="H95" s="5"/>
      <c r="I95" s="5"/>
      <c r="J95" s="5"/>
      <c r="K95" s="5"/>
      <c r="L95" s="4"/>
      <c r="M95" s="4" t="s">
        <v>295</v>
      </c>
      <c r="N95" s="4"/>
      <c r="O95" s="4"/>
      <c r="P95" s="4"/>
      <c r="Q95" s="4"/>
      <c r="R95" s="4"/>
      <c r="S95" s="4"/>
      <c r="T95" s="4"/>
      <c r="U95" s="4"/>
    </row>
    <row r="96" spans="1:21" ht="31.5" customHeight="1">
      <c r="A96" s="20"/>
      <c r="B96" s="251">
        <v>93</v>
      </c>
      <c r="C96" s="272"/>
      <c r="D96" s="38" t="s">
        <v>296</v>
      </c>
      <c r="E96" s="26" t="s">
        <v>297</v>
      </c>
      <c r="F96" s="17" t="s">
        <v>227</v>
      </c>
      <c r="G96" s="15" t="s">
        <v>298</v>
      </c>
      <c r="H96" s="5"/>
      <c r="I96" s="5"/>
      <c r="J96" s="5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31.5" customHeight="1">
      <c r="A97" s="20"/>
      <c r="B97" s="251">
        <v>94</v>
      </c>
      <c r="C97" s="272"/>
      <c r="D97" s="26" t="s">
        <v>299</v>
      </c>
      <c r="E97" s="26" t="s">
        <v>300</v>
      </c>
      <c r="F97" s="17" t="s">
        <v>227</v>
      </c>
      <c r="G97" s="37" t="s">
        <v>301</v>
      </c>
      <c r="H97" s="5"/>
      <c r="I97" s="5"/>
      <c r="J97" s="5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31.5" customHeight="1">
      <c r="A98" s="20"/>
      <c r="B98" s="251">
        <v>95</v>
      </c>
      <c r="C98" s="272"/>
      <c r="D98" s="39" t="s">
        <v>302</v>
      </c>
      <c r="E98" s="38" t="s">
        <v>303</v>
      </c>
      <c r="F98" s="17" t="s">
        <v>227</v>
      </c>
      <c r="G98" s="15" t="s">
        <v>304</v>
      </c>
      <c r="H98" s="5"/>
      <c r="I98" s="5"/>
      <c r="J98" s="5"/>
      <c r="K98" s="5"/>
      <c r="L98" s="4"/>
      <c r="M98" s="4" t="s">
        <v>295</v>
      </c>
      <c r="N98" s="4"/>
      <c r="O98" s="4"/>
      <c r="P98" s="4"/>
      <c r="Q98" s="4"/>
      <c r="R98" s="4"/>
      <c r="S98" s="4"/>
      <c r="T98" s="4"/>
      <c r="U98" s="4"/>
    </row>
    <row r="99" spans="1:21" ht="31.5" customHeight="1">
      <c r="A99" s="20"/>
      <c r="B99" s="251">
        <v>96</v>
      </c>
      <c r="C99" s="272"/>
      <c r="D99" s="26" t="s">
        <v>305</v>
      </c>
      <c r="E99" s="26" t="s">
        <v>306</v>
      </c>
      <c r="F99" s="17" t="s">
        <v>227</v>
      </c>
      <c r="G99" s="15" t="s">
        <v>307</v>
      </c>
      <c r="H99" s="5"/>
      <c r="I99" s="5"/>
      <c r="J99" s="5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21.75" customHeight="1">
      <c r="A100" s="20"/>
      <c r="B100" s="251">
        <v>97</v>
      </c>
      <c r="C100" s="274" t="s">
        <v>308</v>
      </c>
      <c r="D100" s="26" t="s">
        <v>309</v>
      </c>
      <c r="E100" s="26" t="s">
        <v>310</v>
      </c>
      <c r="F100" s="17" t="s">
        <v>227</v>
      </c>
      <c r="G100" s="15" t="s">
        <v>311</v>
      </c>
      <c r="H100" s="5"/>
      <c r="I100" s="5"/>
      <c r="J100" s="5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27" customHeight="1">
      <c r="A101" s="20"/>
      <c r="B101" s="251">
        <v>98</v>
      </c>
      <c r="C101" s="273"/>
      <c r="D101" s="26" t="s">
        <v>312</v>
      </c>
      <c r="E101" s="26" t="s">
        <v>313</v>
      </c>
      <c r="F101" s="17" t="s">
        <v>227</v>
      </c>
      <c r="G101" s="15" t="s">
        <v>314</v>
      </c>
      <c r="H101" s="5"/>
      <c r="I101" s="5"/>
      <c r="J101" s="5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24" customHeight="1">
      <c r="A102" s="20"/>
      <c r="B102" s="251">
        <v>99</v>
      </c>
      <c r="C102" s="273"/>
      <c r="D102" s="26" t="s">
        <v>315</v>
      </c>
      <c r="E102" s="26" t="s">
        <v>316</v>
      </c>
      <c r="F102" s="17" t="s">
        <v>227</v>
      </c>
      <c r="G102" s="15" t="s">
        <v>317</v>
      </c>
      <c r="H102" s="5"/>
      <c r="I102" s="5"/>
      <c r="J102" s="5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3.5" customHeight="1">
      <c r="A103" s="20"/>
      <c r="B103" s="251">
        <v>100</v>
      </c>
      <c r="C103" s="273"/>
      <c r="D103" s="26" t="s">
        <v>318</v>
      </c>
      <c r="E103" s="26" t="s">
        <v>319</v>
      </c>
      <c r="F103" s="17" t="s">
        <v>227</v>
      </c>
      <c r="G103" s="15" t="s">
        <v>320</v>
      </c>
      <c r="H103" s="5"/>
      <c r="I103" s="5"/>
      <c r="J103" s="5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24" customHeight="1">
      <c r="A104" s="20"/>
      <c r="B104" s="251">
        <v>101</v>
      </c>
      <c r="C104" s="274" t="s">
        <v>321</v>
      </c>
      <c r="D104" s="26" t="s">
        <v>322</v>
      </c>
      <c r="E104" s="26" t="s">
        <v>323</v>
      </c>
      <c r="F104" s="17" t="s">
        <v>227</v>
      </c>
      <c r="G104" s="15" t="s">
        <v>324</v>
      </c>
      <c r="H104" s="5"/>
      <c r="I104" s="5"/>
      <c r="J104" s="5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24" customHeight="1">
      <c r="A105" s="20"/>
      <c r="B105" s="251">
        <v>102</v>
      </c>
      <c r="C105" s="273"/>
      <c r="D105" s="26" t="s">
        <v>325</v>
      </c>
      <c r="E105" s="26" t="s">
        <v>326</v>
      </c>
      <c r="F105" s="17" t="s">
        <v>227</v>
      </c>
      <c r="G105" s="15" t="s">
        <v>327</v>
      </c>
      <c r="H105" s="5"/>
      <c r="I105" s="5"/>
      <c r="J105" s="5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24" customHeight="1">
      <c r="A106" s="20"/>
      <c r="B106" s="251">
        <v>103</v>
      </c>
      <c r="C106" s="273"/>
      <c r="D106" s="26" t="s">
        <v>328</v>
      </c>
      <c r="E106" s="26" t="s">
        <v>329</v>
      </c>
      <c r="F106" s="17" t="s">
        <v>227</v>
      </c>
      <c r="G106" s="15" t="s">
        <v>330</v>
      </c>
      <c r="H106" s="5"/>
      <c r="I106" s="5"/>
      <c r="J106" s="5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24" customHeight="1">
      <c r="A107" s="20"/>
      <c r="B107" s="251">
        <v>104</v>
      </c>
      <c r="C107" s="274" t="s">
        <v>331</v>
      </c>
      <c r="D107" s="26" t="s">
        <v>332</v>
      </c>
      <c r="E107" s="26" t="s">
        <v>333</v>
      </c>
      <c r="F107" s="17" t="s">
        <v>227</v>
      </c>
      <c r="G107" s="15" t="s">
        <v>334</v>
      </c>
      <c r="H107" s="5"/>
      <c r="I107" s="5"/>
      <c r="J107" s="5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24" customHeight="1">
      <c r="A108" s="20"/>
      <c r="B108" s="251">
        <v>105</v>
      </c>
      <c r="C108" s="273"/>
      <c r="D108" s="26" t="s">
        <v>335</v>
      </c>
      <c r="E108" s="26" t="s">
        <v>336</v>
      </c>
      <c r="F108" s="17" t="s">
        <v>227</v>
      </c>
      <c r="G108" s="15" t="s">
        <v>337</v>
      </c>
      <c r="H108" s="5"/>
      <c r="I108" s="5"/>
      <c r="J108" s="5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24" customHeight="1">
      <c r="A109" s="20"/>
      <c r="B109" s="251">
        <v>106</v>
      </c>
      <c r="C109" s="273"/>
      <c r="D109" s="26" t="s">
        <v>338</v>
      </c>
      <c r="E109" s="26" t="s">
        <v>339</v>
      </c>
      <c r="F109" s="17" t="s">
        <v>227</v>
      </c>
      <c r="G109" s="15" t="s">
        <v>340</v>
      </c>
      <c r="H109" s="5"/>
      <c r="I109" s="5"/>
      <c r="J109" s="5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24" customHeight="1">
      <c r="A110" s="20"/>
      <c r="B110" s="251">
        <v>107</v>
      </c>
      <c r="C110" s="273"/>
      <c r="D110" s="26" t="s">
        <v>341</v>
      </c>
      <c r="E110" s="26" t="s">
        <v>342</v>
      </c>
      <c r="F110" s="17" t="s">
        <v>227</v>
      </c>
      <c r="G110" s="15" t="s">
        <v>343</v>
      </c>
      <c r="H110" s="5"/>
      <c r="I110" s="5"/>
      <c r="J110" s="5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24" customHeight="1">
      <c r="A111" s="20"/>
      <c r="B111" s="251">
        <v>108</v>
      </c>
      <c r="C111" s="273"/>
      <c r="D111" s="26" t="s">
        <v>344</v>
      </c>
      <c r="E111" s="26" t="s">
        <v>345</v>
      </c>
      <c r="F111" s="17" t="s">
        <v>227</v>
      </c>
      <c r="G111" s="15" t="s">
        <v>346</v>
      </c>
      <c r="H111" s="5"/>
      <c r="I111" s="5"/>
      <c r="J111" s="5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24" customHeight="1">
      <c r="A112" s="20"/>
      <c r="B112" s="251"/>
      <c r="C112" s="252" t="s">
        <v>347</v>
      </c>
      <c r="D112" s="26" t="s">
        <v>348</v>
      </c>
      <c r="E112" s="251" t="s">
        <v>138</v>
      </c>
      <c r="F112" s="17" t="s">
        <v>227</v>
      </c>
      <c r="G112" s="15" t="s">
        <v>349</v>
      </c>
      <c r="H112" s="5"/>
      <c r="I112" s="5"/>
      <c r="J112" s="5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24" customHeight="1">
      <c r="A113" s="20"/>
      <c r="B113" s="251">
        <v>109</v>
      </c>
      <c r="C113" s="274" t="s">
        <v>350</v>
      </c>
      <c r="D113" s="26" t="s">
        <v>351</v>
      </c>
      <c r="E113" s="26" t="s">
        <v>352</v>
      </c>
      <c r="F113" s="17" t="s">
        <v>227</v>
      </c>
      <c r="G113" s="15" t="s">
        <v>353</v>
      </c>
      <c r="H113" s="5"/>
      <c r="I113" s="5"/>
      <c r="J113" s="5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24" customHeight="1">
      <c r="A114" s="20"/>
      <c r="B114" s="251">
        <v>110</v>
      </c>
      <c r="C114" s="274"/>
      <c r="D114" s="26" t="s">
        <v>354</v>
      </c>
      <c r="E114" s="26" t="s">
        <v>355</v>
      </c>
      <c r="F114" s="17" t="s">
        <v>227</v>
      </c>
      <c r="G114" s="15" t="s">
        <v>356</v>
      </c>
      <c r="H114" s="5"/>
      <c r="I114" s="5"/>
      <c r="J114" s="5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24" customHeight="1">
      <c r="A115" s="20"/>
      <c r="B115" s="251">
        <v>111</v>
      </c>
      <c r="C115" s="274"/>
      <c r="D115" s="26" t="s">
        <v>357</v>
      </c>
      <c r="E115" s="26" t="s">
        <v>358</v>
      </c>
      <c r="F115" s="17" t="s">
        <v>227</v>
      </c>
      <c r="G115" s="15" t="s">
        <v>359</v>
      </c>
      <c r="H115" s="5"/>
      <c r="I115" s="5"/>
      <c r="J115" s="5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24" customHeight="1">
      <c r="A116" s="20"/>
      <c r="B116" s="251">
        <v>112</v>
      </c>
      <c r="C116" s="274"/>
      <c r="D116" s="26" t="s">
        <v>360</v>
      </c>
      <c r="E116" s="26" t="s">
        <v>361</v>
      </c>
      <c r="F116" s="17" t="s">
        <v>227</v>
      </c>
      <c r="G116" s="15" t="s">
        <v>362</v>
      </c>
      <c r="H116" s="5"/>
      <c r="I116" s="5"/>
      <c r="J116" s="5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24" customHeight="1">
      <c r="A117" s="20"/>
      <c r="B117" s="251">
        <v>113</v>
      </c>
      <c r="C117" s="274"/>
      <c r="D117" s="26" t="s">
        <v>363</v>
      </c>
      <c r="E117" s="26" t="s">
        <v>364</v>
      </c>
      <c r="F117" s="17" t="s">
        <v>227</v>
      </c>
      <c r="G117" s="15" t="s">
        <v>365</v>
      </c>
      <c r="H117" s="5"/>
      <c r="I117" s="5"/>
      <c r="J117" s="5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24" customHeight="1">
      <c r="A118" s="20"/>
      <c r="B118" s="251">
        <v>114</v>
      </c>
      <c r="C118" s="274"/>
      <c r="D118" s="26" t="s">
        <v>366</v>
      </c>
      <c r="E118" s="26" t="s">
        <v>367</v>
      </c>
      <c r="F118" s="17" t="s">
        <v>227</v>
      </c>
      <c r="G118" s="15" t="s">
        <v>368</v>
      </c>
      <c r="H118" s="5"/>
      <c r="I118" s="5"/>
      <c r="J118" s="5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24" customHeight="1">
      <c r="A119" s="20"/>
      <c r="B119" s="251">
        <v>115</v>
      </c>
      <c r="C119" s="274"/>
      <c r="D119" s="26" t="s">
        <v>369</v>
      </c>
      <c r="E119" s="26" t="s">
        <v>370</v>
      </c>
      <c r="F119" s="17" t="s">
        <v>227</v>
      </c>
      <c r="G119" s="15" t="s">
        <v>371</v>
      </c>
      <c r="H119" s="5"/>
      <c r="I119" s="5"/>
      <c r="J119" s="5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24" customHeight="1">
      <c r="A120" s="20"/>
      <c r="B120" s="251">
        <v>116</v>
      </c>
      <c r="C120" s="274"/>
      <c r="D120" s="26" t="s">
        <v>372</v>
      </c>
      <c r="E120" s="26" t="s">
        <v>373</v>
      </c>
      <c r="F120" s="17" t="s">
        <v>227</v>
      </c>
      <c r="G120" s="15" t="s">
        <v>374</v>
      </c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24" customHeight="1">
      <c r="A121" s="20"/>
      <c r="B121" s="251">
        <v>117</v>
      </c>
      <c r="C121" s="274"/>
      <c r="D121" s="26" t="s">
        <v>375</v>
      </c>
      <c r="E121" s="26" t="s">
        <v>376</v>
      </c>
      <c r="F121" s="17" t="s">
        <v>227</v>
      </c>
      <c r="G121" s="15" t="s">
        <v>377</v>
      </c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24" customHeight="1">
      <c r="A122" s="20"/>
      <c r="B122" s="251">
        <v>118</v>
      </c>
      <c r="C122" s="274"/>
      <c r="D122" s="26" t="s">
        <v>378</v>
      </c>
      <c r="E122" s="26" t="s">
        <v>379</v>
      </c>
      <c r="F122" s="17" t="s">
        <v>227</v>
      </c>
      <c r="G122" s="15" t="s">
        <v>380</v>
      </c>
      <c r="H122" s="5"/>
      <c r="I122" s="5"/>
      <c r="J122" s="5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24" customHeight="1">
      <c r="A123" s="20"/>
      <c r="B123" s="251">
        <v>119</v>
      </c>
      <c r="C123" s="274"/>
      <c r="D123" s="26" t="s">
        <v>381</v>
      </c>
      <c r="E123" s="26" t="s">
        <v>382</v>
      </c>
      <c r="F123" s="17" t="s">
        <v>227</v>
      </c>
      <c r="G123" s="15" t="s">
        <v>383</v>
      </c>
      <c r="H123" s="5"/>
      <c r="I123" s="5"/>
      <c r="J123" s="5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24" customHeight="1">
      <c r="A124" s="20"/>
      <c r="B124" s="251">
        <v>120</v>
      </c>
      <c r="C124" s="274"/>
      <c r="D124" s="26" t="s">
        <v>384</v>
      </c>
      <c r="E124" s="26" t="s">
        <v>385</v>
      </c>
      <c r="F124" s="17" t="s">
        <v>227</v>
      </c>
      <c r="G124" s="15" t="s">
        <v>386</v>
      </c>
      <c r="H124" s="5"/>
      <c r="I124" s="5"/>
      <c r="J124" s="5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24" customHeight="1">
      <c r="A125" s="20"/>
      <c r="B125" s="251">
        <v>121</v>
      </c>
      <c r="C125" s="274"/>
      <c r="D125" s="26" t="s">
        <v>387</v>
      </c>
      <c r="E125" s="26" t="s">
        <v>388</v>
      </c>
      <c r="F125" s="17" t="s">
        <v>227</v>
      </c>
      <c r="G125" s="15" t="s">
        <v>389</v>
      </c>
      <c r="H125" s="5"/>
      <c r="I125" s="5"/>
      <c r="J125" s="5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24" customHeight="1">
      <c r="A126" s="20"/>
      <c r="B126" s="251">
        <v>122</v>
      </c>
      <c r="C126" s="274"/>
      <c r="D126" s="26" t="s">
        <v>390</v>
      </c>
      <c r="E126" s="26" t="s">
        <v>391</v>
      </c>
      <c r="F126" s="17" t="s">
        <v>227</v>
      </c>
      <c r="G126" s="15" t="s">
        <v>392</v>
      </c>
      <c r="H126" s="5"/>
      <c r="I126" s="5"/>
      <c r="J126" s="5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24" customHeight="1">
      <c r="A127" s="20"/>
      <c r="B127" s="251">
        <v>123</v>
      </c>
      <c r="C127" s="274"/>
      <c r="D127" s="26" t="s">
        <v>393</v>
      </c>
      <c r="E127" s="26" t="s">
        <v>394</v>
      </c>
      <c r="F127" s="17" t="s">
        <v>227</v>
      </c>
      <c r="G127" s="15" t="s">
        <v>395</v>
      </c>
      <c r="H127" s="5"/>
      <c r="I127" s="5"/>
      <c r="J127" s="5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24" customHeight="1">
      <c r="A128" s="20"/>
      <c r="B128" s="251">
        <v>124</v>
      </c>
      <c r="C128" s="274"/>
      <c r="D128" s="26" t="s">
        <v>393</v>
      </c>
      <c r="E128" s="26" t="s">
        <v>396</v>
      </c>
      <c r="F128" s="17" t="s">
        <v>227</v>
      </c>
      <c r="G128" s="15" t="s">
        <v>397</v>
      </c>
      <c r="H128" s="5"/>
      <c r="I128" s="5"/>
      <c r="J128" s="5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24" customHeight="1">
      <c r="A129" s="20"/>
      <c r="B129" s="251">
        <v>125</v>
      </c>
      <c r="C129" s="274"/>
      <c r="D129" s="26" t="s">
        <v>393</v>
      </c>
      <c r="E129" s="26" t="s">
        <v>398</v>
      </c>
      <c r="F129" s="17" t="s">
        <v>227</v>
      </c>
      <c r="G129" s="15" t="s">
        <v>399</v>
      </c>
      <c r="H129" s="5"/>
      <c r="I129" s="5"/>
      <c r="J129" s="5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24" customHeight="1">
      <c r="A130" s="20"/>
      <c r="B130" s="251">
        <v>126</v>
      </c>
      <c r="C130" s="274"/>
      <c r="D130" s="26" t="s">
        <v>400</v>
      </c>
      <c r="E130" s="26" t="s">
        <v>401</v>
      </c>
      <c r="F130" s="17" t="s">
        <v>227</v>
      </c>
      <c r="G130" s="15" t="s">
        <v>402</v>
      </c>
      <c r="H130" s="5"/>
      <c r="I130" s="5"/>
      <c r="J130" s="5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24" customHeight="1">
      <c r="A131" s="20"/>
      <c r="B131" s="251">
        <v>127</v>
      </c>
      <c r="C131" s="274"/>
      <c r="D131" s="25" t="s">
        <v>403</v>
      </c>
      <c r="E131" s="26" t="s">
        <v>404</v>
      </c>
      <c r="F131" s="17" t="s">
        <v>227</v>
      </c>
      <c r="G131" s="15" t="s">
        <v>405</v>
      </c>
      <c r="H131" s="5"/>
      <c r="I131" s="5"/>
      <c r="J131" s="5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24" customHeight="1">
      <c r="A132" s="20"/>
      <c r="B132" s="251">
        <v>128</v>
      </c>
      <c r="C132" s="274"/>
      <c r="D132" s="26" t="s">
        <v>406</v>
      </c>
      <c r="E132" s="26" t="s">
        <v>407</v>
      </c>
      <c r="F132" s="17" t="s">
        <v>227</v>
      </c>
      <c r="G132" s="15" t="s">
        <v>408</v>
      </c>
      <c r="H132" s="5"/>
      <c r="I132" s="5"/>
      <c r="J132" s="5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24" customHeight="1">
      <c r="A133" s="20"/>
      <c r="B133" s="251">
        <v>129</v>
      </c>
      <c r="C133" s="274"/>
      <c r="D133" s="26" t="s">
        <v>409</v>
      </c>
      <c r="E133" s="26" t="s">
        <v>410</v>
      </c>
      <c r="F133" s="17" t="s">
        <v>227</v>
      </c>
      <c r="G133" s="15" t="s">
        <v>411</v>
      </c>
      <c r="H133" s="5"/>
      <c r="I133" s="5"/>
      <c r="J133" s="5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24" customHeight="1">
      <c r="A134" s="20"/>
      <c r="B134" s="251">
        <v>130</v>
      </c>
      <c r="C134" s="274"/>
      <c r="D134" s="26" t="s">
        <v>412</v>
      </c>
      <c r="E134" s="26" t="s">
        <v>413</v>
      </c>
      <c r="F134" s="17" t="s">
        <v>227</v>
      </c>
      <c r="G134" s="15" t="s">
        <v>414</v>
      </c>
      <c r="H134" s="5"/>
      <c r="I134" s="5"/>
      <c r="J134" s="5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24" customHeight="1">
      <c r="A135" s="20"/>
      <c r="B135" s="251">
        <v>131</v>
      </c>
      <c r="C135" s="275" t="s">
        <v>415</v>
      </c>
      <c r="D135" s="26" t="s">
        <v>416</v>
      </c>
      <c r="E135" s="26" t="s">
        <v>417</v>
      </c>
      <c r="F135" s="17" t="s">
        <v>227</v>
      </c>
      <c r="G135" s="15" t="s">
        <v>418</v>
      </c>
      <c r="H135" s="5"/>
      <c r="I135" s="5"/>
      <c r="J135" s="5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24" customHeight="1">
      <c r="A136" s="20"/>
      <c r="B136" s="251">
        <v>132</v>
      </c>
      <c r="C136" s="275"/>
      <c r="D136" s="26" t="s">
        <v>419</v>
      </c>
      <c r="E136" s="26" t="s">
        <v>420</v>
      </c>
      <c r="F136" s="17" t="s">
        <v>227</v>
      </c>
      <c r="G136" s="15" t="s">
        <v>421</v>
      </c>
      <c r="H136" s="5"/>
      <c r="I136" s="5"/>
      <c r="J136" s="5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24" customHeight="1">
      <c r="A137" s="20"/>
      <c r="B137" s="251">
        <v>133</v>
      </c>
      <c r="C137" s="275"/>
      <c r="D137" s="26" t="s">
        <v>422</v>
      </c>
      <c r="E137" s="26" t="s">
        <v>423</v>
      </c>
      <c r="F137" s="17" t="s">
        <v>227</v>
      </c>
      <c r="G137" s="15" t="s">
        <v>424</v>
      </c>
      <c r="H137" s="5"/>
      <c r="I137" s="5"/>
      <c r="J137" s="5"/>
      <c r="K137" s="5"/>
      <c r="L137" s="4"/>
      <c r="M137" s="4" t="s">
        <v>425</v>
      </c>
      <c r="N137" s="4"/>
      <c r="O137" s="4"/>
      <c r="P137" s="4"/>
      <c r="Q137" s="4"/>
      <c r="R137" s="4"/>
      <c r="S137" s="4"/>
      <c r="T137" s="4"/>
      <c r="U137" s="4"/>
    </row>
    <row r="138" spans="1:21" ht="16.5" customHeight="1">
      <c r="A138" s="20"/>
      <c r="B138" s="38" t="s">
        <v>426</v>
      </c>
      <c r="C138" s="253"/>
      <c r="D138" s="26" t="s">
        <v>427</v>
      </c>
      <c r="E138" s="26" t="s">
        <v>427</v>
      </c>
      <c r="F138" s="17"/>
      <c r="G138" s="15" t="s">
        <v>428</v>
      </c>
      <c r="H138" s="5"/>
      <c r="I138" s="5"/>
      <c r="J138" s="5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3.5" customHeight="1">
      <c r="A139" s="20"/>
      <c r="B139" s="38" t="s">
        <v>426</v>
      </c>
      <c r="C139" s="252"/>
      <c r="D139" s="26" t="s">
        <v>429</v>
      </c>
      <c r="E139" s="26"/>
      <c r="F139" s="17"/>
      <c r="G139" s="16"/>
      <c r="H139" s="5"/>
      <c r="I139" s="5"/>
      <c r="J139" s="5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3.5" customHeight="1">
      <c r="A140" s="20"/>
      <c r="B140" s="38" t="s">
        <v>426</v>
      </c>
      <c r="C140" s="252"/>
      <c r="D140" s="26" t="s">
        <v>430</v>
      </c>
      <c r="E140" s="26"/>
      <c r="F140" s="17"/>
      <c r="G140" s="16"/>
      <c r="H140" s="5"/>
      <c r="I140" s="5"/>
      <c r="J140" s="5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3.5" customHeight="1">
      <c r="A141" s="20"/>
      <c r="B141" s="21"/>
      <c r="C141" s="21"/>
      <c r="E141" s="27" t="s">
        <v>431</v>
      </c>
      <c r="F141" s="29"/>
      <c r="G141" s="5"/>
      <c r="H141" s="5"/>
      <c r="I141" s="5"/>
      <c r="J141" s="5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3.5" customHeight="1">
      <c r="A142" s="20"/>
      <c r="B142" s="21"/>
      <c r="C142" s="21"/>
      <c r="F142" s="29"/>
      <c r="G142" s="5"/>
      <c r="H142" s="5"/>
      <c r="I142" s="5"/>
      <c r="J142" s="5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3.5" customHeight="1">
      <c r="A143" s="20"/>
      <c r="B143" s="21"/>
      <c r="C143" s="21"/>
      <c r="F143" s="29"/>
      <c r="G143" s="5"/>
      <c r="H143" s="5"/>
      <c r="I143" s="5"/>
      <c r="J143" s="5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3.5" customHeight="1">
      <c r="A144" s="20"/>
      <c r="B144" s="21"/>
      <c r="C144" s="21"/>
      <c r="F144" s="29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3.5" customHeight="1">
      <c r="A145" s="20"/>
      <c r="B145" s="21"/>
      <c r="C145" s="21"/>
      <c r="F145" s="29"/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3.5" customHeight="1">
      <c r="A146" s="20"/>
      <c r="B146" s="21"/>
      <c r="C146" s="21"/>
      <c r="D146" s="4"/>
      <c r="E146" s="4"/>
      <c r="F146" s="5"/>
      <c r="G146" s="5"/>
      <c r="H146" s="5"/>
      <c r="I146" s="5"/>
      <c r="J146" s="5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3.5" customHeight="1">
      <c r="A147" s="20"/>
      <c r="B147" s="21"/>
      <c r="C147" s="21"/>
      <c r="D147" s="4"/>
      <c r="E147" s="4"/>
      <c r="F147" s="5"/>
      <c r="G147" s="5"/>
      <c r="H147" s="5"/>
      <c r="I147" s="5"/>
      <c r="J147" s="5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3.5" customHeight="1">
      <c r="A148" s="20"/>
      <c r="B148" s="21"/>
      <c r="C148" s="21"/>
      <c r="D148" s="4"/>
      <c r="E148" s="4"/>
      <c r="F148" s="5"/>
      <c r="G148" s="5"/>
      <c r="H148" s="5"/>
      <c r="I148" s="5"/>
      <c r="J148" s="5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3.5" customHeight="1">
      <c r="A149" s="20"/>
      <c r="B149" s="21"/>
      <c r="C149" s="21"/>
      <c r="D149" s="4"/>
      <c r="E149" s="4"/>
      <c r="F149" s="5"/>
      <c r="G149" s="5"/>
      <c r="H149" s="5"/>
      <c r="I149" s="5"/>
      <c r="J149" s="5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3.5" customHeight="1">
      <c r="A150" s="20"/>
      <c r="B150" s="21"/>
      <c r="C150" s="21"/>
      <c r="D150" s="4"/>
      <c r="E150" s="4"/>
      <c r="F150" s="5"/>
      <c r="G150" s="5"/>
      <c r="H150" s="5"/>
      <c r="I150" s="5"/>
      <c r="J150" s="5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3.5" customHeight="1">
      <c r="A151" s="20"/>
      <c r="B151" s="21"/>
      <c r="C151" s="21"/>
      <c r="D151" s="4"/>
      <c r="E151" s="4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3.5" customHeight="1">
      <c r="A152" s="20"/>
      <c r="B152" s="21"/>
      <c r="C152" s="21"/>
      <c r="D152" s="4"/>
      <c r="E152" s="4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3.5" customHeight="1">
      <c r="A153" s="20"/>
      <c r="B153" s="21"/>
      <c r="C153" s="21"/>
      <c r="D153" s="4"/>
      <c r="E153" s="4"/>
      <c r="F153" s="5"/>
      <c r="G153" s="5"/>
      <c r="H153" s="5"/>
      <c r="I153" s="5"/>
      <c r="J153" s="5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3.5" customHeight="1">
      <c r="A154" s="20"/>
      <c r="B154" s="21"/>
      <c r="C154" s="21"/>
      <c r="D154" s="4"/>
      <c r="E154" s="4"/>
      <c r="F154" s="5"/>
      <c r="G154" s="5"/>
      <c r="H154" s="5"/>
      <c r="I154" s="5"/>
      <c r="J154" s="5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3.5" customHeight="1">
      <c r="A155" s="20"/>
      <c r="B155" s="21"/>
      <c r="C155" s="21"/>
      <c r="D155" s="4"/>
      <c r="E155" s="4"/>
      <c r="F155" s="5"/>
      <c r="G155" s="5"/>
      <c r="H155" s="5"/>
      <c r="I155" s="5"/>
      <c r="J155" s="5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3.5" customHeight="1">
      <c r="A156" s="20"/>
      <c r="B156" s="21"/>
      <c r="C156" s="21"/>
      <c r="D156" s="4"/>
      <c r="E156" s="4"/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3.5" customHeight="1">
      <c r="A157" s="20"/>
      <c r="B157" s="21"/>
      <c r="C157" s="21"/>
      <c r="D157" s="4"/>
      <c r="E157" s="4"/>
      <c r="F157" s="5"/>
      <c r="G157" s="5"/>
      <c r="H157" s="5"/>
      <c r="I157" s="5"/>
      <c r="J157" s="5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3.5" customHeight="1">
      <c r="A158" s="20"/>
      <c r="B158" s="21"/>
      <c r="C158" s="21"/>
      <c r="D158" s="4"/>
      <c r="E158" s="4"/>
      <c r="F158" s="5"/>
      <c r="G158" s="5"/>
      <c r="H158" s="5"/>
      <c r="I158" s="5"/>
      <c r="J158" s="5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3.5" customHeight="1">
      <c r="A159" s="20"/>
      <c r="B159" s="21"/>
      <c r="C159" s="21"/>
      <c r="D159" s="4"/>
      <c r="E159" s="4"/>
      <c r="F159" s="5"/>
      <c r="G159" s="5"/>
      <c r="H159" s="5"/>
      <c r="I159" s="5"/>
      <c r="J159" s="5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3.5" customHeight="1">
      <c r="A160" s="20"/>
      <c r="B160" s="21"/>
      <c r="C160" s="21"/>
      <c r="D160" s="4"/>
      <c r="E160" s="4"/>
      <c r="F160" s="5"/>
      <c r="G160" s="5"/>
      <c r="H160" s="5"/>
      <c r="I160" s="5"/>
      <c r="J160" s="5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3.5" customHeight="1">
      <c r="A161" s="20"/>
      <c r="B161" s="21"/>
      <c r="C161" s="21"/>
      <c r="D161" s="4"/>
      <c r="E161" s="4"/>
      <c r="F161" s="5"/>
      <c r="G161" s="5"/>
      <c r="H161" s="5"/>
      <c r="I161" s="5"/>
      <c r="J161" s="5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3.5" customHeight="1">
      <c r="A162" s="20"/>
      <c r="B162" s="21"/>
      <c r="C162" s="21"/>
      <c r="D162" s="4"/>
      <c r="E162" s="4"/>
      <c r="F162" s="5"/>
      <c r="G162" s="5"/>
      <c r="H162" s="5"/>
      <c r="I162" s="5"/>
      <c r="J162" s="5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3.5" customHeight="1">
      <c r="A163" s="20"/>
      <c r="B163" s="21"/>
      <c r="C163" s="21"/>
      <c r="D163" s="4"/>
      <c r="E163" s="4"/>
      <c r="F163" s="5"/>
      <c r="G163" s="5"/>
      <c r="H163" s="5"/>
      <c r="I163" s="5"/>
      <c r="J163" s="5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3.5" customHeight="1">
      <c r="A164" s="20"/>
      <c r="B164" s="21"/>
      <c r="C164" s="21"/>
      <c r="D164" s="4"/>
      <c r="E164" s="4"/>
      <c r="F164" s="5"/>
      <c r="G164" s="5"/>
      <c r="H164" s="5"/>
      <c r="I164" s="5"/>
      <c r="J164" s="5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3.5" customHeight="1">
      <c r="A165" s="20"/>
      <c r="B165" s="21"/>
      <c r="C165" s="21"/>
      <c r="D165" s="4"/>
      <c r="E165" s="4"/>
      <c r="F165" s="5"/>
      <c r="G165" s="5"/>
      <c r="H165" s="5"/>
      <c r="I165" s="5"/>
      <c r="J165" s="5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3.5" customHeight="1">
      <c r="A166" s="20"/>
      <c r="B166" s="21"/>
      <c r="C166" s="21"/>
      <c r="D166" s="4"/>
      <c r="E166" s="4"/>
      <c r="F166" s="5"/>
      <c r="G166" s="5"/>
      <c r="H166" s="5"/>
      <c r="I166" s="5"/>
      <c r="J166" s="5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3.5" customHeight="1">
      <c r="A167" s="20"/>
      <c r="B167" s="21"/>
      <c r="C167" s="21"/>
      <c r="D167" s="4"/>
      <c r="E167" s="4"/>
      <c r="F167" s="5"/>
      <c r="G167" s="5"/>
      <c r="H167" s="5"/>
      <c r="I167" s="5"/>
      <c r="J167" s="5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3.5" customHeight="1">
      <c r="A168" s="20"/>
      <c r="B168" s="21"/>
      <c r="C168" s="21"/>
      <c r="D168" s="4"/>
      <c r="E168" s="4"/>
      <c r="F168" s="5"/>
      <c r="G168" s="5"/>
      <c r="H168" s="5"/>
      <c r="I168" s="5"/>
      <c r="J168" s="5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3.5" customHeight="1">
      <c r="A169" s="20"/>
      <c r="B169" s="21"/>
      <c r="C169" s="21"/>
      <c r="D169" s="4"/>
      <c r="E169" s="4"/>
      <c r="F169" s="5"/>
      <c r="G169" s="5"/>
      <c r="H169" s="5"/>
      <c r="I169" s="5"/>
      <c r="J169" s="5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3.5" customHeight="1">
      <c r="A170" s="20"/>
      <c r="B170" s="21"/>
      <c r="C170" s="21"/>
      <c r="D170" s="4"/>
      <c r="E170" s="4"/>
      <c r="F170" s="5"/>
      <c r="G170" s="5"/>
      <c r="H170" s="5"/>
      <c r="I170" s="5"/>
      <c r="J170" s="5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3.5" customHeight="1">
      <c r="A171" s="20"/>
      <c r="B171" s="21"/>
      <c r="C171" s="21"/>
      <c r="D171" s="4"/>
      <c r="E171" s="4"/>
      <c r="F171" s="5"/>
      <c r="G171" s="5"/>
      <c r="H171" s="5"/>
      <c r="I171" s="5"/>
      <c r="J171" s="5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3.5" customHeight="1">
      <c r="A172" s="20"/>
      <c r="B172" s="21"/>
      <c r="C172" s="21"/>
      <c r="D172" s="4"/>
      <c r="E172" s="4"/>
      <c r="F172" s="5"/>
      <c r="G172" s="5"/>
      <c r="H172" s="5"/>
      <c r="I172" s="5"/>
      <c r="J172" s="5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3.5" customHeight="1">
      <c r="A173" s="20"/>
      <c r="B173" s="21"/>
      <c r="C173" s="21"/>
      <c r="D173" s="4"/>
      <c r="E173" s="4"/>
      <c r="F173" s="5"/>
      <c r="G173" s="5"/>
      <c r="H173" s="5"/>
      <c r="I173" s="5"/>
      <c r="J173" s="5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3.5" customHeight="1">
      <c r="A174" s="20"/>
      <c r="B174" s="21"/>
      <c r="C174" s="21"/>
      <c r="D174" s="4"/>
      <c r="E174" s="4"/>
      <c r="F174" s="5"/>
      <c r="G174" s="5"/>
      <c r="H174" s="5"/>
      <c r="I174" s="5"/>
      <c r="J174" s="5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3.5" customHeight="1">
      <c r="A175" s="20"/>
      <c r="B175" s="21"/>
      <c r="C175" s="21"/>
      <c r="D175" s="4"/>
      <c r="E175" s="4"/>
      <c r="F175" s="5"/>
      <c r="G175" s="5"/>
      <c r="H175" s="5"/>
      <c r="I175" s="5"/>
      <c r="J175" s="5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3.5" customHeight="1">
      <c r="A176" s="20"/>
      <c r="B176" s="21"/>
      <c r="C176" s="21"/>
      <c r="D176" s="4"/>
      <c r="E176" s="4"/>
      <c r="F176" s="5"/>
      <c r="G176" s="5"/>
      <c r="H176" s="5"/>
      <c r="I176" s="5"/>
      <c r="J176" s="5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3.5" customHeight="1">
      <c r="A177" s="20"/>
      <c r="B177" s="21"/>
      <c r="C177" s="21"/>
      <c r="D177" s="4"/>
      <c r="E177" s="4"/>
      <c r="F177" s="5"/>
      <c r="G177" s="5"/>
      <c r="H177" s="5"/>
      <c r="I177" s="5"/>
      <c r="J177" s="5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3.5" customHeight="1">
      <c r="A178" s="20"/>
      <c r="B178" s="21"/>
      <c r="C178" s="21"/>
      <c r="D178" s="4"/>
      <c r="E178" s="4"/>
      <c r="F178" s="5"/>
      <c r="G178" s="5"/>
      <c r="H178" s="5"/>
      <c r="I178" s="5"/>
      <c r="J178" s="5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3.5" customHeight="1">
      <c r="A179" s="20"/>
      <c r="B179" s="21"/>
      <c r="C179" s="21"/>
      <c r="D179" s="4"/>
      <c r="E179" s="4"/>
      <c r="F179" s="5"/>
      <c r="G179" s="5"/>
      <c r="H179" s="5"/>
      <c r="I179" s="5"/>
      <c r="J179" s="5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3.5" customHeight="1">
      <c r="A180" s="20"/>
      <c r="B180" s="21"/>
      <c r="C180" s="21"/>
      <c r="D180" s="4"/>
      <c r="E180" s="4"/>
      <c r="F180" s="5"/>
      <c r="G180" s="5"/>
      <c r="H180" s="5"/>
      <c r="I180" s="5"/>
      <c r="J180" s="5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3.5" customHeight="1">
      <c r="A181" s="20"/>
      <c r="B181" s="21"/>
      <c r="C181" s="21"/>
      <c r="D181" s="4"/>
      <c r="E181" s="4"/>
      <c r="F181" s="5"/>
      <c r="G181" s="5"/>
      <c r="H181" s="5"/>
      <c r="I181" s="5"/>
      <c r="J181" s="5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3.5" customHeight="1">
      <c r="A182" s="20"/>
      <c r="B182" s="21"/>
      <c r="C182" s="21"/>
      <c r="D182" s="4"/>
      <c r="E182" s="4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3.5" customHeight="1">
      <c r="A183" s="20"/>
      <c r="B183" s="21"/>
      <c r="C183" s="21"/>
      <c r="D183" s="4"/>
      <c r="E183" s="4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3.5" customHeight="1">
      <c r="A184" s="20"/>
      <c r="B184" s="21"/>
      <c r="C184" s="21"/>
      <c r="D184" s="4"/>
      <c r="E184" s="4"/>
      <c r="F184" s="5"/>
      <c r="G184" s="5"/>
      <c r="H184" s="5"/>
      <c r="I184" s="5"/>
      <c r="J184" s="5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3.5" customHeight="1">
      <c r="A185" s="20"/>
      <c r="B185" s="21"/>
      <c r="C185" s="21"/>
      <c r="D185" s="4"/>
      <c r="E185" s="4"/>
      <c r="F185" s="5"/>
      <c r="G185" s="5"/>
      <c r="H185" s="5"/>
      <c r="I185" s="5"/>
      <c r="J185" s="5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3.5" customHeight="1">
      <c r="A186" s="20"/>
      <c r="B186" s="21"/>
      <c r="C186" s="21"/>
      <c r="D186" s="4"/>
      <c r="E186" s="4"/>
      <c r="F186" s="5"/>
      <c r="G186" s="5"/>
      <c r="H186" s="5"/>
      <c r="I186" s="5"/>
      <c r="J186" s="5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3.5" customHeight="1">
      <c r="A187" s="20"/>
      <c r="B187" s="21"/>
      <c r="C187" s="21"/>
      <c r="D187" s="4"/>
      <c r="E187" s="4"/>
      <c r="F187" s="5"/>
      <c r="G187" s="5"/>
      <c r="H187" s="5"/>
      <c r="I187" s="5"/>
      <c r="J187" s="5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3.5" customHeight="1">
      <c r="A188" s="20"/>
      <c r="B188" s="21"/>
      <c r="C188" s="21"/>
      <c r="D188" s="4"/>
      <c r="E188" s="4"/>
      <c r="F188" s="5"/>
      <c r="G188" s="5"/>
      <c r="H188" s="5"/>
      <c r="I188" s="5"/>
      <c r="J188" s="5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3.5" customHeight="1">
      <c r="A189" s="20"/>
      <c r="B189" s="21"/>
      <c r="C189" s="21"/>
      <c r="D189" s="4"/>
      <c r="E189" s="4"/>
      <c r="F189" s="5"/>
      <c r="G189" s="5"/>
      <c r="H189" s="5"/>
      <c r="I189" s="5"/>
      <c r="J189" s="5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3.5" customHeight="1">
      <c r="A190" s="20"/>
      <c r="B190" s="21"/>
      <c r="C190" s="21"/>
      <c r="D190" s="4"/>
      <c r="E190" s="4"/>
      <c r="F190" s="5"/>
      <c r="G190" s="5"/>
      <c r="H190" s="5"/>
      <c r="I190" s="5"/>
      <c r="J190" s="5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3.5" customHeight="1">
      <c r="A191" s="20"/>
      <c r="B191" s="21"/>
      <c r="C191" s="21"/>
      <c r="D191" s="4"/>
      <c r="E191" s="4"/>
      <c r="F191" s="5"/>
      <c r="G191" s="5"/>
      <c r="H191" s="5"/>
      <c r="I191" s="5"/>
      <c r="J191" s="5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3.5" customHeight="1">
      <c r="A192" s="20"/>
      <c r="B192" s="21"/>
      <c r="C192" s="21"/>
      <c r="D192" s="4"/>
      <c r="E192" s="4"/>
      <c r="F192" s="5"/>
      <c r="G192" s="5"/>
      <c r="H192" s="5"/>
      <c r="I192" s="5"/>
      <c r="J192" s="5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3.5" customHeight="1">
      <c r="A193" s="20"/>
      <c r="B193" s="21"/>
      <c r="C193" s="21"/>
      <c r="D193" s="4"/>
      <c r="E193" s="4"/>
      <c r="F193" s="5"/>
      <c r="G193" s="5"/>
      <c r="H193" s="5"/>
      <c r="I193" s="5"/>
      <c r="J193" s="5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3.5" customHeight="1">
      <c r="A194" s="20"/>
      <c r="B194" s="21"/>
      <c r="C194" s="21"/>
      <c r="D194" s="4"/>
      <c r="E194" s="4"/>
      <c r="F194" s="5"/>
      <c r="G194" s="5"/>
      <c r="H194" s="5"/>
      <c r="I194" s="5"/>
      <c r="J194" s="5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3.5" customHeight="1">
      <c r="A195" s="20"/>
      <c r="B195" s="21"/>
      <c r="C195" s="21"/>
      <c r="D195" s="4"/>
      <c r="E195" s="4"/>
      <c r="F195" s="5"/>
      <c r="G195" s="5"/>
      <c r="H195" s="5"/>
      <c r="I195" s="5"/>
      <c r="J195" s="5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3.5" customHeight="1">
      <c r="A196" s="20"/>
      <c r="B196" s="21"/>
      <c r="C196" s="21"/>
      <c r="D196" s="4"/>
      <c r="E196" s="4"/>
      <c r="F196" s="5"/>
      <c r="G196" s="5"/>
      <c r="H196" s="5"/>
      <c r="I196" s="5"/>
      <c r="J196" s="5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3.5" customHeight="1">
      <c r="A197" s="20"/>
      <c r="B197" s="21"/>
      <c r="C197" s="21"/>
      <c r="D197" s="4"/>
      <c r="E197" s="4"/>
      <c r="F197" s="5"/>
      <c r="G197" s="5"/>
      <c r="H197" s="5"/>
      <c r="I197" s="5"/>
      <c r="J197" s="5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3.5" customHeight="1">
      <c r="A198" s="20"/>
      <c r="B198" s="21"/>
      <c r="C198" s="21"/>
      <c r="D198" s="4"/>
      <c r="E198" s="4"/>
      <c r="F198" s="5"/>
      <c r="G198" s="5"/>
      <c r="H198" s="5"/>
      <c r="I198" s="5"/>
      <c r="J198" s="5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3.5" customHeight="1">
      <c r="A199" s="20"/>
      <c r="B199" s="21"/>
      <c r="C199" s="21"/>
      <c r="D199" s="4"/>
      <c r="E199" s="4"/>
      <c r="F199" s="5"/>
      <c r="G199" s="5"/>
      <c r="H199" s="5"/>
      <c r="I199" s="5"/>
      <c r="J199" s="5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3.5" customHeight="1">
      <c r="A200" s="20"/>
      <c r="B200" s="21"/>
      <c r="C200" s="21"/>
      <c r="D200" s="4"/>
      <c r="E200" s="4"/>
      <c r="F200" s="5"/>
      <c r="G200" s="5"/>
      <c r="H200" s="5"/>
      <c r="I200" s="5"/>
      <c r="J200" s="5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3.5" customHeight="1">
      <c r="A201" s="20"/>
      <c r="B201" s="21"/>
      <c r="C201" s="21"/>
      <c r="D201" s="4"/>
      <c r="E201" s="4"/>
      <c r="F201" s="5"/>
      <c r="G201" s="5"/>
      <c r="H201" s="5"/>
      <c r="I201" s="5"/>
      <c r="J201" s="5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3.5" customHeight="1">
      <c r="A202" s="20"/>
      <c r="B202" s="21"/>
      <c r="C202" s="21"/>
      <c r="D202" s="4"/>
      <c r="E202" s="4"/>
      <c r="F202" s="5"/>
      <c r="G202" s="5"/>
      <c r="H202" s="5"/>
      <c r="I202" s="5"/>
      <c r="J202" s="5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3.5" customHeight="1">
      <c r="A203" s="20"/>
      <c r="B203" s="21"/>
      <c r="C203" s="21"/>
      <c r="D203" s="4"/>
      <c r="E203" s="4"/>
      <c r="F203" s="5"/>
      <c r="G203" s="5"/>
      <c r="H203" s="5"/>
      <c r="I203" s="5"/>
      <c r="J203" s="5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3.5" customHeight="1">
      <c r="A204" s="20"/>
      <c r="B204" s="21"/>
      <c r="C204" s="21"/>
      <c r="D204" s="4"/>
      <c r="E204" s="4"/>
      <c r="F204" s="5"/>
      <c r="G204" s="5"/>
      <c r="H204" s="5"/>
      <c r="I204" s="5"/>
      <c r="J204" s="5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3.5" customHeight="1">
      <c r="A205" s="20"/>
      <c r="B205" s="21"/>
      <c r="C205" s="21"/>
      <c r="D205" s="4"/>
      <c r="E205" s="4"/>
      <c r="F205" s="5"/>
      <c r="G205" s="5"/>
      <c r="H205" s="5"/>
      <c r="I205" s="5"/>
      <c r="J205" s="5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3.5" customHeight="1">
      <c r="A206" s="20"/>
      <c r="B206" s="21"/>
      <c r="C206" s="21"/>
      <c r="D206" s="4"/>
      <c r="E206" s="4"/>
      <c r="F206" s="5"/>
      <c r="G206" s="5"/>
      <c r="H206" s="5"/>
      <c r="I206" s="5"/>
      <c r="J206" s="5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3.5" customHeight="1">
      <c r="A207" s="20"/>
      <c r="B207" s="21"/>
      <c r="C207" s="21"/>
      <c r="D207" s="4"/>
      <c r="E207" s="4"/>
      <c r="F207" s="5"/>
      <c r="G207" s="5"/>
      <c r="H207" s="5"/>
      <c r="I207" s="5"/>
      <c r="J207" s="5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3.5" customHeight="1">
      <c r="A208" s="20"/>
      <c r="B208" s="21"/>
      <c r="C208" s="21"/>
      <c r="D208" s="4"/>
      <c r="E208" s="4"/>
      <c r="F208" s="5"/>
      <c r="G208" s="5"/>
      <c r="H208" s="5"/>
      <c r="I208" s="5"/>
      <c r="J208" s="5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3.5" customHeight="1">
      <c r="A209" s="20"/>
      <c r="B209" s="21"/>
      <c r="C209" s="21"/>
      <c r="D209" s="4"/>
      <c r="E209" s="4"/>
      <c r="F209" s="5"/>
      <c r="G209" s="5"/>
      <c r="H209" s="5"/>
      <c r="I209" s="5"/>
      <c r="J209" s="5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3.5" customHeight="1">
      <c r="A210" s="20"/>
      <c r="B210" s="21"/>
      <c r="C210" s="21"/>
      <c r="D210" s="4"/>
      <c r="E210" s="4"/>
      <c r="F210" s="5"/>
      <c r="G210" s="5"/>
      <c r="H210" s="5"/>
      <c r="I210" s="5"/>
      <c r="J210" s="5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3.5" customHeight="1">
      <c r="A211" s="20"/>
      <c r="B211" s="21"/>
      <c r="C211" s="21"/>
      <c r="D211" s="4"/>
      <c r="E211" s="4"/>
      <c r="F211" s="5"/>
      <c r="G211" s="5"/>
      <c r="H211" s="5"/>
      <c r="I211" s="5"/>
      <c r="J211" s="5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3.5" customHeight="1">
      <c r="A212" s="20"/>
      <c r="B212" s="21"/>
      <c r="C212" s="21"/>
      <c r="D212" s="4"/>
      <c r="E212" s="4"/>
      <c r="F212" s="5"/>
      <c r="G212" s="5"/>
      <c r="H212" s="5"/>
      <c r="I212" s="5"/>
      <c r="J212" s="5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3.5" customHeight="1">
      <c r="A213" s="20"/>
      <c r="B213" s="21"/>
      <c r="C213" s="21"/>
      <c r="D213" s="4"/>
      <c r="E213" s="4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3.5" customHeight="1">
      <c r="A214" s="20"/>
      <c r="B214" s="21"/>
      <c r="C214" s="21"/>
      <c r="D214" s="4"/>
      <c r="E214" s="4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3.5" customHeight="1">
      <c r="A215" s="20"/>
      <c r="B215" s="21"/>
      <c r="C215" s="21"/>
      <c r="D215" s="4"/>
      <c r="E215" s="4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3.5" customHeight="1">
      <c r="A216" s="20"/>
      <c r="B216" s="21"/>
      <c r="C216" s="21"/>
      <c r="D216" s="4"/>
      <c r="E216" s="4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3.5" customHeight="1">
      <c r="A217" s="20"/>
      <c r="B217" s="21"/>
      <c r="C217" s="21"/>
      <c r="D217" s="4"/>
      <c r="E217" s="4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3.5" customHeight="1">
      <c r="A218" s="20"/>
      <c r="B218" s="21"/>
      <c r="C218" s="21"/>
      <c r="D218" s="4"/>
      <c r="E218" s="4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3.5" customHeight="1">
      <c r="A219" s="20"/>
      <c r="B219" s="21"/>
      <c r="C219" s="21"/>
      <c r="D219" s="4"/>
      <c r="E219" s="4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3.5" customHeight="1">
      <c r="A220" s="20"/>
      <c r="B220" s="21"/>
      <c r="C220" s="21"/>
      <c r="D220" s="4"/>
      <c r="E220" s="4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3.5" customHeight="1">
      <c r="A221" s="20"/>
      <c r="B221" s="21"/>
      <c r="C221" s="21"/>
      <c r="D221" s="4"/>
      <c r="E221" s="4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3.5" customHeight="1">
      <c r="A222" s="20"/>
      <c r="B222" s="21"/>
      <c r="C222" s="21"/>
      <c r="D222" s="4"/>
      <c r="E222" s="4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3.5" customHeight="1">
      <c r="A223" s="20"/>
      <c r="B223" s="21"/>
      <c r="C223" s="21"/>
      <c r="D223" s="4"/>
      <c r="E223" s="4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3.5" customHeight="1">
      <c r="A224" s="20"/>
      <c r="B224" s="21"/>
      <c r="C224" s="21"/>
      <c r="D224" s="4"/>
      <c r="E224" s="4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3.5" customHeight="1">
      <c r="A225" s="20"/>
      <c r="B225" s="21"/>
      <c r="C225" s="21"/>
      <c r="D225" s="4"/>
      <c r="E225" s="4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3.5" customHeight="1">
      <c r="A226" s="20"/>
      <c r="B226" s="21"/>
      <c r="C226" s="21"/>
      <c r="D226" s="4"/>
      <c r="E226" s="4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3.5" customHeight="1">
      <c r="A227" s="20"/>
      <c r="B227" s="21"/>
      <c r="C227" s="21"/>
      <c r="D227" s="4"/>
      <c r="E227" s="4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3.5" customHeight="1">
      <c r="A228" s="20"/>
      <c r="B228" s="21"/>
      <c r="C228" s="21"/>
      <c r="D228" s="4"/>
      <c r="E228" s="4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3.5" customHeight="1">
      <c r="A229" s="20"/>
      <c r="B229" s="21"/>
      <c r="C229" s="21"/>
      <c r="D229" s="4"/>
      <c r="E229" s="4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3.5" customHeight="1">
      <c r="A230" s="20"/>
      <c r="B230" s="21"/>
      <c r="C230" s="21"/>
      <c r="D230" s="4"/>
      <c r="E230" s="4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3.5" customHeight="1">
      <c r="A231" s="20"/>
      <c r="B231" s="21"/>
      <c r="C231" s="21"/>
      <c r="D231" s="4"/>
      <c r="E231" s="4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3.5" customHeight="1">
      <c r="A232" s="20"/>
      <c r="B232" s="21"/>
      <c r="C232" s="21"/>
      <c r="D232" s="4"/>
      <c r="E232" s="4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3.5" customHeight="1">
      <c r="A233" s="20"/>
      <c r="B233" s="21"/>
      <c r="C233" s="21"/>
      <c r="D233" s="4"/>
      <c r="E233" s="4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3.5" customHeight="1">
      <c r="A234" s="20"/>
      <c r="B234" s="21"/>
      <c r="C234" s="21"/>
      <c r="D234" s="4"/>
      <c r="E234" s="4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3.5" customHeight="1">
      <c r="A235" s="20"/>
      <c r="B235" s="21"/>
      <c r="C235" s="21"/>
      <c r="D235" s="4"/>
      <c r="E235" s="4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3.5" customHeight="1">
      <c r="A236" s="20"/>
      <c r="B236" s="21"/>
      <c r="C236" s="21"/>
      <c r="D236" s="4"/>
      <c r="E236" s="4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3.5" customHeight="1">
      <c r="A237" s="20"/>
      <c r="B237" s="21"/>
      <c r="C237" s="21"/>
      <c r="D237" s="4"/>
      <c r="E237" s="4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3.5" customHeight="1">
      <c r="A238" s="20"/>
      <c r="B238" s="21"/>
      <c r="C238" s="21"/>
      <c r="D238" s="4"/>
      <c r="E238" s="4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3.5" customHeight="1">
      <c r="A239" s="20"/>
      <c r="B239" s="21"/>
      <c r="C239" s="21"/>
      <c r="D239" s="4"/>
      <c r="E239" s="4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3.5" customHeight="1">
      <c r="A240" s="20"/>
      <c r="B240" s="21"/>
      <c r="C240" s="21"/>
      <c r="D240" s="4"/>
      <c r="E240" s="4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3.5" customHeight="1">
      <c r="A241" s="20"/>
      <c r="B241" s="21"/>
      <c r="C241" s="21"/>
      <c r="D241" s="4"/>
      <c r="E241" s="4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3.5" customHeight="1">
      <c r="A242" s="20"/>
      <c r="B242" s="21"/>
      <c r="C242" s="21"/>
      <c r="D242" s="4"/>
      <c r="E242" s="4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3.5" customHeight="1">
      <c r="A243" s="20"/>
      <c r="B243" s="21"/>
      <c r="C243" s="21"/>
      <c r="D243" s="4"/>
      <c r="E243" s="4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3.5" customHeight="1">
      <c r="A244" s="20"/>
      <c r="B244" s="21"/>
      <c r="C244" s="21"/>
      <c r="D244" s="4"/>
      <c r="E244" s="4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3.5" customHeight="1">
      <c r="A245" s="20"/>
      <c r="B245" s="21"/>
      <c r="C245" s="21"/>
      <c r="D245" s="4"/>
      <c r="E245" s="4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3.5" customHeight="1">
      <c r="A246" s="20"/>
      <c r="B246" s="21"/>
      <c r="C246" s="21"/>
      <c r="D246" s="4"/>
      <c r="E246" s="4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3.5" customHeight="1">
      <c r="A247" s="20"/>
      <c r="B247" s="21"/>
      <c r="C247" s="21"/>
      <c r="D247" s="4"/>
      <c r="E247" s="4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3.5" customHeight="1">
      <c r="A248" s="20"/>
      <c r="B248" s="21"/>
      <c r="C248" s="21"/>
      <c r="D248" s="4"/>
      <c r="E248" s="4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3.5" customHeight="1">
      <c r="A249" s="20"/>
      <c r="B249" s="21"/>
      <c r="C249" s="21"/>
      <c r="D249" s="4"/>
      <c r="E249" s="4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3.5" customHeight="1">
      <c r="A250" s="20"/>
      <c r="B250" s="21"/>
      <c r="C250" s="21"/>
      <c r="D250" s="4"/>
      <c r="E250" s="4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3.5" customHeight="1">
      <c r="A251" s="20"/>
      <c r="B251" s="21"/>
      <c r="C251" s="21"/>
      <c r="D251" s="4"/>
      <c r="E251" s="4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3.5" customHeight="1">
      <c r="A252" s="20"/>
      <c r="B252" s="21"/>
      <c r="C252" s="21"/>
      <c r="D252" s="4"/>
      <c r="E252" s="4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3.5" customHeight="1">
      <c r="A253" s="20"/>
      <c r="B253" s="21"/>
      <c r="C253" s="21"/>
      <c r="D253" s="4"/>
      <c r="E253" s="4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3.5" customHeight="1">
      <c r="A254" s="20"/>
      <c r="B254" s="21"/>
      <c r="C254" s="21"/>
      <c r="D254" s="4"/>
      <c r="E254" s="4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3.5" customHeight="1">
      <c r="A255" s="20"/>
      <c r="B255" s="21"/>
      <c r="C255" s="21"/>
      <c r="D255" s="4"/>
      <c r="E255" s="4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3.5" customHeight="1">
      <c r="A256" s="20"/>
      <c r="B256" s="21"/>
      <c r="C256" s="21"/>
      <c r="D256" s="4"/>
      <c r="E256" s="4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3.5" customHeight="1">
      <c r="A257" s="20"/>
      <c r="B257" s="21"/>
      <c r="C257" s="21"/>
      <c r="D257" s="4"/>
      <c r="E257" s="4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3.5" customHeight="1">
      <c r="A258" s="20"/>
      <c r="B258" s="21"/>
      <c r="C258" s="21"/>
      <c r="D258" s="4"/>
      <c r="E258" s="4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3.5" customHeight="1">
      <c r="A259" s="20"/>
      <c r="B259" s="21"/>
      <c r="C259" s="21"/>
      <c r="D259" s="4"/>
      <c r="E259" s="4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3.5" customHeight="1">
      <c r="A260" s="20"/>
      <c r="B260" s="21"/>
      <c r="C260" s="21"/>
      <c r="D260" s="4"/>
      <c r="E260" s="4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3.5" customHeight="1">
      <c r="A261" s="20"/>
      <c r="B261" s="21"/>
      <c r="C261" s="21"/>
      <c r="D261" s="4"/>
      <c r="E261" s="4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3.5" customHeight="1">
      <c r="A262" s="20"/>
      <c r="B262" s="21"/>
      <c r="C262" s="21"/>
      <c r="D262" s="4"/>
      <c r="E262" s="4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3.5" customHeight="1">
      <c r="A263" s="20"/>
      <c r="B263" s="21"/>
      <c r="C263" s="21"/>
      <c r="D263" s="4"/>
      <c r="E263" s="4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3.5" customHeight="1">
      <c r="A264" s="20"/>
      <c r="B264" s="21"/>
      <c r="C264" s="21"/>
      <c r="D264" s="4"/>
      <c r="E264" s="4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3.5" customHeight="1">
      <c r="A265" s="20"/>
      <c r="B265" s="21"/>
      <c r="C265" s="21"/>
      <c r="D265" s="4"/>
      <c r="E265" s="4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3.5" customHeight="1">
      <c r="A266" s="20"/>
      <c r="B266" s="21"/>
      <c r="C266" s="21"/>
      <c r="D266" s="4"/>
      <c r="E266" s="4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3.5" customHeight="1">
      <c r="A267" s="20"/>
      <c r="B267" s="21"/>
      <c r="C267" s="21"/>
      <c r="D267" s="4"/>
      <c r="E267" s="4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3.5" customHeight="1">
      <c r="A268" s="20"/>
      <c r="B268" s="21"/>
      <c r="C268" s="21"/>
      <c r="D268" s="4"/>
      <c r="E268" s="4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3.5" customHeight="1">
      <c r="A269" s="20"/>
      <c r="B269" s="21"/>
      <c r="C269" s="21"/>
      <c r="D269" s="4"/>
      <c r="E269" s="4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3.5" customHeight="1">
      <c r="A270" s="20"/>
      <c r="B270" s="21"/>
      <c r="C270" s="21"/>
      <c r="D270" s="4"/>
      <c r="E270" s="4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3.5" customHeight="1">
      <c r="A271" s="20"/>
      <c r="B271" s="21"/>
      <c r="C271" s="21"/>
      <c r="D271" s="4"/>
      <c r="E271" s="4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3.5" customHeight="1">
      <c r="A272" s="20"/>
      <c r="B272" s="21"/>
      <c r="C272" s="21"/>
      <c r="D272" s="4"/>
      <c r="E272" s="4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3.5" customHeight="1">
      <c r="A273" s="20"/>
      <c r="B273" s="21"/>
      <c r="C273" s="21"/>
      <c r="D273" s="4"/>
      <c r="E273" s="4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3.5" customHeight="1">
      <c r="A274" s="20"/>
      <c r="B274" s="21"/>
      <c r="C274" s="21"/>
      <c r="D274" s="4"/>
      <c r="E274" s="4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3.5" customHeight="1">
      <c r="A275" s="20"/>
      <c r="B275" s="21"/>
      <c r="C275" s="21"/>
      <c r="D275" s="4"/>
      <c r="E275" s="4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3.5" customHeight="1">
      <c r="A276" s="20"/>
      <c r="B276" s="21"/>
      <c r="C276" s="21"/>
      <c r="D276" s="4"/>
      <c r="E276" s="4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3.5" customHeight="1">
      <c r="A277" s="20"/>
      <c r="B277" s="21"/>
      <c r="C277" s="21"/>
      <c r="D277" s="4"/>
      <c r="E277" s="4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3.5" customHeight="1">
      <c r="A278" s="20"/>
      <c r="B278" s="21"/>
      <c r="C278" s="21"/>
      <c r="D278" s="4"/>
      <c r="E278" s="4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3.5" customHeight="1">
      <c r="A279" s="20"/>
      <c r="B279" s="21"/>
      <c r="C279" s="21"/>
      <c r="D279" s="4"/>
      <c r="E279" s="4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3.5" customHeight="1">
      <c r="A280" s="20"/>
      <c r="B280" s="21"/>
      <c r="C280" s="21"/>
      <c r="D280" s="4"/>
      <c r="E280" s="4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3.5" customHeight="1">
      <c r="A281" s="20"/>
      <c r="B281" s="21"/>
      <c r="C281" s="21"/>
      <c r="D281" s="4"/>
      <c r="E281" s="4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3.5" customHeight="1">
      <c r="A282" s="20"/>
      <c r="B282" s="21"/>
      <c r="C282" s="21"/>
      <c r="D282" s="4"/>
      <c r="E282" s="4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3.5" customHeight="1">
      <c r="A283" s="20"/>
      <c r="B283" s="21"/>
      <c r="C283" s="21"/>
      <c r="D283" s="4"/>
      <c r="E283" s="4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3.5" customHeight="1">
      <c r="A284" s="20"/>
      <c r="B284" s="21"/>
      <c r="C284" s="21"/>
      <c r="D284" s="4"/>
      <c r="E284" s="4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3.5" customHeight="1">
      <c r="A285" s="20"/>
      <c r="B285" s="21"/>
      <c r="C285" s="21"/>
      <c r="D285" s="4"/>
      <c r="E285" s="4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3.5" customHeight="1">
      <c r="A286" s="20"/>
      <c r="B286" s="21"/>
      <c r="C286" s="21"/>
      <c r="D286" s="4"/>
      <c r="E286" s="4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3.5" customHeight="1">
      <c r="A287" s="20"/>
      <c r="B287" s="21"/>
      <c r="C287" s="21"/>
      <c r="D287" s="4"/>
      <c r="E287" s="4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3.5" customHeight="1">
      <c r="A288" s="20"/>
      <c r="B288" s="21"/>
      <c r="C288" s="21"/>
      <c r="D288" s="4"/>
      <c r="E288" s="4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3.5" customHeight="1">
      <c r="A289" s="20"/>
      <c r="B289" s="21"/>
      <c r="C289" s="21"/>
      <c r="D289" s="4"/>
      <c r="E289" s="4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3.5" customHeight="1">
      <c r="A290" s="20"/>
      <c r="B290" s="21"/>
      <c r="C290" s="21"/>
      <c r="D290" s="4"/>
      <c r="E290" s="4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3.5" customHeight="1">
      <c r="A291" s="20"/>
      <c r="B291" s="21"/>
      <c r="C291" s="21"/>
      <c r="D291" s="4"/>
      <c r="E291" s="4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3.5" customHeight="1">
      <c r="A292" s="20"/>
      <c r="B292" s="21"/>
      <c r="C292" s="21"/>
      <c r="D292" s="4"/>
      <c r="E292" s="4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3.5" customHeight="1">
      <c r="A293" s="20"/>
      <c r="B293" s="21"/>
      <c r="C293" s="21"/>
      <c r="D293" s="4"/>
      <c r="E293" s="4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3.5" customHeight="1">
      <c r="A294" s="20"/>
      <c r="B294" s="21"/>
      <c r="C294" s="21"/>
      <c r="D294" s="4"/>
      <c r="E294" s="4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3.5" customHeight="1">
      <c r="A295" s="20"/>
      <c r="B295" s="21"/>
      <c r="C295" s="21"/>
      <c r="D295" s="4"/>
      <c r="E295" s="4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3.5" customHeight="1">
      <c r="A296" s="20"/>
      <c r="B296" s="21"/>
      <c r="C296" s="21"/>
      <c r="D296" s="4"/>
      <c r="E296" s="4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3.5" customHeight="1">
      <c r="A297" s="20"/>
      <c r="B297" s="21"/>
      <c r="C297" s="21"/>
      <c r="D297" s="4"/>
      <c r="E297" s="4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3.5" customHeight="1">
      <c r="A298" s="20"/>
      <c r="B298" s="21"/>
      <c r="C298" s="21"/>
      <c r="D298" s="4"/>
      <c r="E298" s="4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3.5" customHeight="1">
      <c r="A299" s="20"/>
      <c r="B299" s="21"/>
      <c r="C299" s="21"/>
      <c r="D299" s="4"/>
      <c r="E299" s="4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3.5" customHeight="1">
      <c r="A300" s="20"/>
      <c r="B300" s="21"/>
      <c r="C300" s="21"/>
      <c r="D300" s="4"/>
      <c r="E300" s="4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3.5" customHeight="1">
      <c r="A301" s="20"/>
      <c r="B301" s="21"/>
      <c r="C301" s="21"/>
      <c r="D301" s="4"/>
      <c r="E301" s="4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3.5" customHeight="1">
      <c r="A302" s="20"/>
      <c r="B302" s="21"/>
      <c r="C302" s="21"/>
      <c r="D302" s="4"/>
      <c r="E302" s="4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3.5" customHeight="1">
      <c r="A303" s="20"/>
      <c r="B303" s="21"/>
      <c r="C303" s="21"/>
      <c r="D303" s="4"/>
      <c r="E303" s="4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3.5" customHeight="1">
      <c r="A304" s="20"/>
      <c r="B304" s="21"/>
      <c r="C304" s="21"/>
      <c r="D304" s="4"/>
      <c r="E304" s="4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3.5" customHeight="1">
      <c r="A305" s="20"/>
      <c r="B305" s="21"/>
      <c r="C305" s="21"/>
      <c r="D305" s="4"/>
      <c r="E305" s="4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3.5" customHeight="1">
      <c r="A306" s="20"/>
      <c r="B306" s="21"/>
      <c r="C306" s="21"/>
      <c r="D306" s="4"/>
      <c r="E306" s="4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3.5" customHeight="1">
      <c r="A307" s="20"/>
      <c r="B307" s="21"/>
      <c r="C307" s="21"/>
      <c r="D307" s="4"/>
      <c r="E307" s="4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3.5" customHeight="1">
      <c r="A308" s="20"/>
      <c r="B308" s="21"/>
      <c r="C308" s="21"/>
      <c r="D308" s="4"/>
      <c r="E308" s="4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3.5" customHeight="1">
      <c r="A309" s="20"/>
      <c r="B309" s="21"/>
      <c r="C309" s="21"/>
      <c r="D309" s="4"/>
      <c r="E309" s="4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3.5" customHeight="1">
      <c r="A310" s="20"/>
      <c r="B310" s="21"/>
      <c r="C310" s="21"/>
      <c r="D310" s="4"/>
      <c r="E310" s="4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3.5" customHeight="1">
      <c r="A311" s="20"/>
      <c r="B311" s="21"/>
      <c r="C311" s="21"/>
      <c r="D311" s="4"/>
      <c r="E311" s="4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3.5" customHeight="1">
      <c r="A312" s="20"/>
      <c r="B312" s="21"/>
      <c r="C312" s="21"/>
      <c r="D312" s="4"/>
      <c r="E312" s="4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3.5" customHeight="1">
      <c r="A313" s="20"/>
      <c r="B313" s="21"/>
      <c r="C313" s="21"/>
      <c r="D313" s="4"/>
      <c r="E313" s="4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3.5" customHeight="1">
      <c r="A314" s="20"/>
      <c r="B314" s="21"/>
      <c r="C314" s="21"/>
      <c r="D314" s="4"/>
      <c r="E314" s="4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3.5" customHeight="1">
      <c r="A315" s="20"/>
      <c r="B315" s="21"/>
      <c r="C315" s="21"/>
      <c r="D315" s="4"/>
      <c r="E315" s="4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3.5" customHeight="1">
      <c r="A316" s="20"/>
      <c r="B316" s="21"/>
      <c r="C316" s="21"/>
      <c r="D316" s="4"/>
      <c r="E316" s="4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3.5" customHeight="1">
      <c r="A317" s="20"/>
      <c r="B317" s="21"/>
      <c r="C317" s="21"/>
      <c r="D317" s="4"/>
      <c r="E317" s="4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3.5" customHeight="1">
      <c r="A318" s="20"/>
      <c r="B318" s="21"/>
      <c r="C318" s="21"/>
      <c r="D318" s="4"/>
      <c r="E318" s="4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3.5" customHeight="1">
      <c r="A319" s="20"/>
      <c r="B319" s="21"/>
      <c r="C319" s="21"/>
      <c r="D319" s="4"/>
      <c r="E319" s="4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3.5" customHeight="1">
      <c r="A320" s="20"/>
      <c r="B320" s="21"/>
      <c r="C320" s="21"/>
      <c r="D320" s="4"/>
      <c r="E320" s="4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3.5" customHeight="1">
      <c r="A321" s="20"/>
      <c r="B321" s="21"/>
      <c r="C321" s="21"/>
      <c r="D321" s="4"/>
      <c r="E321" s="4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3.5" customHeight="1">
      <c r="A322" s="20"/>
      <c r="B322" s="21"/>
      <c r="C322" s="21"/>
      <c r="D322" s="4"/>
      <c r="E322" s="4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3.5" customHeight="1">
      <c r="A323" s="20"/>
      <c r="B323" s="21"/>
      <c r="C323" s="21"/>
      <c r="D323" s="4"/>
      <c r="E323" s="4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3.5" customHeight="1">
      <c r="A324" s="20"/>
      <c r="B324" s="21"/>
      <c r="C324" s="21"/>
      <c r="D324" s="4"/>
      <c r="E324" s="4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3.5" customHeight="1">
      <c r="A325" s="20"/>
      <c r="B325" s="21"/>
      <c r="C325" s="21"/>
      <c r="D325" s="4"/>
      <c r="E325" s="4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3.5" customHeight="1">
      <c r="A326" s="20"/>
      <c r="B326" s="21"/>
      <c r="C326" s="21"/>
      <c r="D326" s="4"/>
      <c r="E326" s="4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3.5" customHeight="1">
      <c r="A327" s="20"/>
      <c r="B327" s="21"/>
      <c r="C327" s="21"/>
      <c r="D327" s="4"/>
      <c r="E327" s="4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3.5" customHeight="1">
      <c r="A328" s="20"/>
      <c r="B328" s="21"/>
      <c r="C328" s="21"/>
      <c r="D328" s="4"/>
      <c r="E328" s="4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3.5" customHeight="1">
      <c r="A329" s="20"/>
      <c r="B329" s="21"/>
      <c r="C329" s="21"/>
      <c r="D329" s="4"/>
      <c r="E329" s="4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3.5" customHeight="1">
      <c r="A330" s="20"/>
      <c r="B330" s="21"/>
      <c r="C330" s="21"/>
      <c r="D330" s="4"/>
      <c r="E330" s="4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3.5" customHeight="1">
      <c r="A331" s="20"/>
      <c r="B331" s="21"/>
      <c r="C331" s="21"/>
      <c r="D331" s="4"/>
      <c r="E331" s="4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3.5" customHeight="1">
      <c r="A332" s="20"/>
      <c r="B332" s="21"/>
      <c r="C332" s="21"/>
      <c r="D332" s="4"/>
      <c r="E332" s="4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3.5" customHeight="1">
      <c r="A333" s="20"/>
      <c r="B333" s="21"/>
      <c r="C333" s="21"/>
      <c r="D333" s="4"/>
      <c r="E333" s="4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3.5" customHeight="1">
      <c r="A334" s="20"/>
      <c r="B334" s="21"/>
      <c r="C334" s="21"/>
      <c r="D334" s="4"/>
      <c r="E334" s="4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3.5" customHeight="1">
      <c r="A335" s="20"/>
      <c r="B335" s="21"/>
      <c r="C335" s="21"/>
      <c r="D335" s="4"/>
      <c r="E335" s="4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3.5" customHeight="1">
      <c r="A336" s="20"/>
      <c r="B336" s="21"/>
      <c r="C336" s="21"/>
      <c r="D336" s="4"/>
      <c r="E336" s="4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3.5" customHeight="1">
      <c r="A337" s="20"/>
      <c r="B337" s="21"/>
      <c r="C337" s="21"/>
      <c r="D337" s="4"/>
      <c r="E337" s="4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3.5" customHeight="1">
      <c r="A338" s="20"/>
      <c r="B338" s="21"/>
      <c r="C338" s="21"/>
      <c r="D338" s="4"/>
      <c r="E338" s="4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3.5" customHeight="1">
      <c r="A339" s="20"/>
      <c r="B339" s="21"/>
      <c r="C339" s="21"/>
      <c r="D339" s="4"/>
      <c r="E339" s="4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3.5" customHeight="1">
      <c r="A340" s="20"/>
      <c r="B340" s="21"/>
      <c r="C340" s="21"/>
      <c r="D340" s="4"/>
      <c r="E340" s="4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5.75" customHeight="1">
      <c r="F341" s="29"/>
      <c r="G341" s="29"/>
      <c r="H341" s="29"/>
      <c r="I341" s="29"/>
      <c r="J341" s="29"/>
      <c r="K341" s="29"/>
    </row>
    <row r="342" spans="1:21" ht="15.75" customHeight="1">
      <c r="F342" s="29"/>
      <c r="G342" s="29"/>
      <c r="H342" s="29"/>
      <c r="I342" s="29"/>
      <c r="J342" s="29"/>
      <c r="K342" s="29"/>
    </row>
    <row r="343" spans="1:21" ht="15.75" customHeight="1">
      <c r="F343" s="29"/>
      <c r="G343" s="29"/>
      <c r="H343" s="29"/>
      <c r="I343" s="29"/>
      <c r="J343" s="29"/>
      <c r="K343" s="29"/>
    </row>
    <row r="344" spans="1:21" ht="15.75" customHeight="1">
      <c r="F344" s="29"/>
      <c r="G344" s="29"/>
      <c r="H344" s="29"/>
      <c r="I344" s="29"/>
      <c r="J344" s="29"/>
      <c r="K344" s="29"/>
    </row>
    <row r="345" spans="1:21" ht="15.75" customHeight="1">
      <c r="F345" s="29"/>
      <c r="G345" s="29"/>
      <c r="H345" s="29"/>
      <c r="I345" s="29"/>
      <c r="J345" s="29"/>
      <c r="K345" s="29"/>
    </row>
    <row r="346" spans="1:21" ht="15.75" customHeight="1">
      <c r="F346" s="29"/>
      <c r="G346" s="29"/>
      <c r="H346" s="29"/>
      <c r="I346" s="29"/>
      <c r="J346" s="29"/>
      <c r="K346" s="29"/>
    </row>
    <row r="347" spans="1:21" ht="15.75" customHeight="1">
      <c r="F347" s="29"/>
      <c r="G347" s="29"/>
      <c r="H347" s="29"/>
      <c r="I347" s="29"/>
      <c r="J347" s="29"/>
      <c r="K347" s="29"/>
    </row>
    <row r="348" spans="1:21" ht="15.75" customHeight="1">
      <c r="F348" s="29"/>
      <c r="G348" s="29"/>
      <c r="H348" s="29"/>
      <c r="I348" s="29"/>
      <c r="J348" s="29"/>
      <c r="K348" s="29"/>
    </row>
    <row r="349" spans="1:21" ht="15.75" customHeight="1">
      <c r="F349" s="29"/>
      <c r="G349" s="29"/>
      <c r="H349" s="29"/>
      <c r="I349" s="29"/>
      <c r="J349" s="29"/>
      <c r="K349" s="29"/>
    </row>
    <row r="350" spans="1:21" ht="15.75" customHeight="1">
      <c r="F350" s="29"/>
      <c r="G350" s="29"/>
      <c r="H350" s="29"/>
      <c r="I350" s="29"/>
      <c r="J350" s="29"/>
      <c r="K350" s="29"/>
    </row>
    <row r="351" spans="1:21" ht="15.75" customHeight="1">
      <c r="F351" s="29"/>
      <c r="G351" s="29"/>
      <c r="H351" s="29"/>
      <c r="I351" s="29"/>
      <c r="J351" s="29"/>
      <c r="K351" s="29"/>
    </row>
    <row r="352" spans="1:21" ht="15.75" customHeight="1">
      <c r="F352" s="29"/>
      <c r="G352" s="29"/>
      <c r="H352" s="29"/>
      <c r="I352" s="29"/>
      <c r="J352" s="29"/>
      <c r="K352" s="29"/>
    </row>
    <row r="353" spans="6:11" ht="15.75" customHeight="1">
      <c r="F353" s="29"/>
      <c r="G353" s="29"/>
      <c r="H353" s="29"/>
      <c r="I353" s="29"/>
      <c r="J353" s="29"/>
      <c r="K353" s="29"/>
    </row>
    <row r="354" spans="6:11" ht="15.75" customHeight="1">
      <c r="F354" s="29"/>
      <c r="G354" s="29"/>
      <c r="H354" s="29"/>
      <c r="I354" s="29"/>
      <c r="J354" s="29"/>
      <c r="K354" s="29"/>
    </row>
    <row r="355" spans="6:11" ht="15.75" customHeight="1">
      <c r="F355" s="29"/>
      <c r="G355" s="29"/>
      <c r="H355" s="29"/>
      <c r="I355" s="29"/>
      <c r="J355" s="29"/>
      <c r="K355" s="29"/>
    </row>
    <row r="356" spans="6:11" ht="15.75" customHeight="1">
      <c r="F356" s="29"/>
      <c r="G356" s="29"/>
      <c r="H356" s="29"/>
      <c r="I356" s="29"/>
      <c r="J356" s="29"/>
      <c r="K356" s="29"/>
    </row>
    <row r="357" spans="6:11" ht="15.75" customHeight="1">
      <c r="F357" s="29"/>
      <c r="G357" s="29"/>
      <c r="H357" s="29"/>
      <c r="I357" s="29"/>
      <c r="J357" s="29"/>
      <c r="K357" s="29"/>
    </row>
    <row r="358" spans="6:11" ht="15.75" customHeight="1">
      <c r="F358" s="29"/>
      <c r="G358" s="29"/>
      <c r="H358" s="29"/>
      <c r="I358" s="29"/>
      <c r="J358" s="29"/>
      <c r="K358" s="29"/>
    </row>
    <row r="359" spans="6:11" ht="15.75" customHeight="1">
      <c r="F359" s="29"/>
      <c r="G359" s="29"/>
      <c r="H359" s="29"/>
      <c r="I359" s="29"/>
      <c r="J359" s="29"/>
      <c r="K359" s="29"/>
    </row>
    <row r="360" spans="6:11" ht="15.75" customHeight="1">
      <c r="F360" s="29"/>
      <c r="G360" s="29"/>
      <c r="H360" s="29"/>
      <c r="I360" s="29"/>
      <c r="J360" s="29"/>
      <c r="K360" s="29"/>
    </row>
    <row r="361" spans="6:11" ht="15.75" customHeight="1">
      <c r="F361" s="29"/>
      <c r="G361" s="29"/>
      <c r="H361" s="29"/>
      <c r="I361" s="29"/>
      <c r="J361" s="29"/>
      <c r="K361" s="29"/>
    </row>
    <row r="362" spans="6:11" ht="15.75" customHeight="1">
      <c r="F362" s="29"/>
      <c r="G362" s="29"/>
      <c r="H362" s="29"/>
      <c r="I362" s="29"/>
      <c r="J362" s="29"/>
      <c r="K362" s="29"/>
    </row>
    <row r="363" spans="6:11" ht="15.75" customHeight="1">
      <c r="F363" s="29"/>
      <c r="G363" s="29"/>
      <c r="H363" s="29"/>
      <c r="I363" s="29"/>
      <c r="J363" s="29"/>
      <c r="K363" s="29"/>
    </row>
    <row r="364" spans="6:11" ht="15.75" customHeight="1">
      <c r="F364" s="29"/>
      <c r="G364" s="29"/>
      <c r="H364" s="29"/>
      <c r="I364" s="29"/>
      <c r="J364" s="29"/>
      <c r="K364" s="29"/>
    </row>
    <row r="365" spans="6:11" ht="15.75" customHeight="1">
      <c r="F365" s="29"/>
      <c r="G365" s="29"/>
      <c r="H365" s="29"/>
      <c r="I365" s="29"/>
      <c r="J365" s="29"/>
      <c r="K365" s="29"/>
    </row>
    <row r="366" spans="6:11" ht="15.75" customHeight="1">
      <c r="F366" s="29"/>
      <c r="G366" s="29"/>
      <c r="H366" s="29"/>
      <c r="I366" s="29"/>
      <c r="J366" s="29"/>
      <c r="K366" s="29"/>
    </row>
    <row r="367" spans="6:11" ht="15.75" customHeight="1">
      <c r="F367" s="29"/>
      <c r="G367" s="29"/>
      <c r="H367" s="29"/>
      <c r="I367" s="29"/>
      <c r="J367" s="29"/>
      <c r="K367" s="29"/>
    </row>
    <row r="368" spans="6:11" ht="15.75" customHeight="1">
      <c r="F368" s="29"/>
      <c r="G368" s="29"/>
      <c r="H368" s="29"/>
      <c r="I368" s="29"/>
      <c r="J368" s="29"/>
      <c r="K368" s="29"/>
    </row>
    <row r="369" spans="6:11" ht="15.75" customHeight="1">
      <c r="F369" s="29"/>
      <c r="G369" s="29"/>
      <c r="H369" s="29"/>
      <c r="I369" s="29"/>
      <c r="J369" s="29"/>
      <c r="K369" s="29"/>
    </row>
    <row r="370" spans="6:11" ht="15.75" customHeight="1">
      <c r="F370" s="29"/>
      <c r="G370" s="29"/>
      <c r="H370" s="29"/>
      <c r="I370" s="29"/>
      <c r="J370" s="29"/>
      <c r="K370" s="29"/>
    </row>
    <row r="371" spans="6:11" ht="15.75" customHeight="1">
      <c r="F371" s="29"/>
      <c r="G371" s="29"/>
      <c r="H371" s="29"/>
      <c r="I371" s="29"/>
      <c r="J371" s="29"/>
      <c r="K371" s="29"/>
    </row>
    <row r="372" spans="6:11" ht="15.75" customHeight="1">
      <c r="F372" s="29"/>
      <c r="G372" s="29"/>
      <c r="H372" s="29"/>
      <c r="I372" s="29"/>
      <c r="J372" s="29"/>
      <c r="K372" s="29"/>
    </row>
    <row r="373" spans="6:11" ht="15.75" customHeight="1">
      <c r="F373" s="29"/>
      <c r="G373" s="29"/>
      <c r="H373" s="29"/>
      <c r="I373" s="29"/>
      <c r="J373" s="29"/>
      <c r="K373" s="29"/>
    </row>
    <row r="374" spans="6:11" ht="15.75" customHeight="1">
      <c r="F374" s="29"/>
      <c r="G374" s="29"/>
      <c r="H374" s="29"/>
      <c r="I374" s="29"/>
      <c r="J374" s="29"/>
      <c r="K374" s="29"/>
    </row>
    <row r="375" spans="6:11" ht="15.75" customHeight="1">
      <c r="F375" s="29"/>
      <c r="G375" s="29"/>
      <c r="H375" s="29"/>
      <c r="I375" s="29"/>
      <c r="J375" s="29"/>
      <c r="K375" s="29"/>
    </row>
    <row r="376" spans="6:11" ht="15.75" customHeight="1">
      <c r="F376" s="29"/>
      <c r="G376" s="29"/>
      <c r="H376" s="29"/>
      <c r="I376" s="29"/>
      <c r="J376" s="29"/>
      <c r="K376" s="29"/>
    </row>
    <row r="377" spans="6:11" ht="15.75" customHeight="1">
      <c r="F377" s="29"/>
      <c r="G377" s="29"/>
      <c r="H377" s="29"/>
      <c r="I377" s="29"/>
      <c r="J377" s="29"/>
      <c r="K377" s="29"/>
    </row>
    <row r="378" spans="6:11" ht="15.75" customHeight="1">
      <c r="F378" s="29"/>
      <c r="G378" s="29"/>
      <c r="H378" s="29"/>
      <c r="I378" s="29"/>
      <c r="J378" s="29"/>
      <c r="K378" s="29"/>
    </row>
    <row r="379" spans="6:11" ht="15.75" customHeight="1">
      <c r="F379" s="29"/>
      <c r="G379" s="29"/>
      <c r="H379" s="29"/>
      <c r="I379" s="29"/>
      <c r="J379" s="29"/>
      <c r="K379" s="29"/>
    </row>
    <row r="380" spans="6:11" ht="15.75" customHeight="1">
      <c r="F380" s="29"/>
      <c r="G380" s="29"/>
      <c r="H380" s="29"/>
      <c r="I380" s="29"/>
      <c r="J380" s="29"/>
      <c r="K380" s="29"/>
    </row>
    <row r="381" spans="6:11" ht="15.75" customHeight="1">
      <c r="F381" s="29"/>
      <c r="G381" s="29"/>
      <c r="H381" s="29"/>
      <c r="I381" s="29"/>
      <c r="J381" s="29"/>
      <c r="K381" s="29"/>
    </row>
    <row r="382" spans="6:11" ht="15.75" customHeight="1">
      <c r="F382" s="29"/>
      <c r="G382" s="29"/>
      <c r="H382" s="29"/>
      <c r="I382" s="29"/>
      <c r="J382" s="29"/>
      <c r="K382" s="29"/>
    </row>
    <row r="383" spans="6:11" ht="15.75" customHeight="1">
      <c r="F383" s="29"/>
      <c r="G383" s="29"/>
      <c r="H383" s="29"/>
      <c r="I383" s="29"/>
      <c r="J383" s="29"/>
      <c r="K383" s="29"/>
    </row>
    <row r="384" spans="6:11" ht="15.75" customHeight="1">
      <c r="F384" s="29"/>
      <c r="G384" s="29"/>
      <c r="H384" s="29"/>
      <c r="I384" s="29"/>
      <c r="J384" s="29"/>
      <c r="K384" s="29"/>
    </row>
    <row r="385" spans="6:11" ht="15.75" customHeight="1">
      <c r="F385" s="29"/>
      <c r="G385" s="29"/>
      <c r="H385" s="29"/>
      <c r="I385" s="29"/>
      <c r="J385" s="29"/>
      <c r="K385" s="29"/>
    </row>
    <row r="386" spans="6:11" ht="15.75" customHeight="1">
      <c r="F386" s="29"/>
      <c r="G386" s="29"/>
      <c r="H386" s="29"/>
      <c r="I386" s="29"/>
      <c r="J386" s="29"/>
      <c r="K386" s="29"/>
    </row>
    <row r="387" spans="6:11" ht="15.75" customHeight="1">
      <c r="F387" s="29"/>
      <c r="G387" s="29"/>
      <c r="H387" s="29"/>
      <c r="I387" s="29"/>
      <c r="J387" s="29"/>
      <c r="K387" s="29"/>
    </row>
    <row r="388" spans="6:11" ht="15.75" customHeight="1">
      <c r="F388" s="29"/>
      <c r="G388" s="29"/>
      <c r="H388" s="29"/>
      <c r="I388" s="29"/>
      <c r="J388" s="29"/>
      <c r="K388" s="29"/>
    </row>
    <row r="389" spans="6:11" ht="15.75" customHeight="1">
      <c r="F389" s="29"/>
      <c r="G389" s="29"/>
      <c r="H389" s="29"/>
      <c r="I389" s="29"/>
      <c r="J389" s="29"/>
      <c r="K389" s="29"/>
    </row>
    <row r="390" spans="6:11" ht="15.75" customHeight="1">
      <c r="F390" s="29"/>
      <c r="G390" s="29"/>
      <c r="H390" s="29"/>
      <c r="I390" s="29"/>
      <c r="J390" s="29"/>
      <c r="K390" s="29"/>
    </row>
    <row r="391" spans="6:11" ht="15.75" customHeight="1">
      <c r="F391" s="29"/>
      <c r="G391" s="29"/>
      <c r="H391" s="29"/>
      <c r="I391" s="29"/>
      <c r="J391" s="29"/>
      <c r="K391" s="29"/>
    </row>
    <row r="392" spans="6:11" ht="15.75" customHeight="1">
      <c r="F392" s="29"/>
      <c r="G392" s="29"/>
      <c r="H392" s="29"/>
      <c r="I392" s="29"/>
      <c r="J392" s="29"/>
      <c r="K392" s="29"/>
    </row>
    <row r="393" spans="6:11" ht="15.75" customHeight="1">
      <c r="F393" s="29"/>
      <c r="G393" s="29"/>
      <c r="H393" s="29"/>
      <c r="I393" s="29"/>
      <c r="J393" s="29"/>
      <c r="K393" s="29"/>
    </row>
    <row r="394" spans="6:11" ht="15.75" customHeight="1">
      <c r="F394" s="29"/>
      <c r="G394" s="29"/>
      <c r="H394" s="29"/>
      <c r="I394" s="29"/>
      <c r="J394" s="29"/>
      <c r="K394" s="29"/>
    </row>
    <row r="395" spans="6:11" ht="15.75" customHeight="1">
      <c r="F395" s="29"/>
      <c r="G395" s="29"/>
      <c r="H395" s="29"/>
      <c r="I395" s="29"/>
      <c r="J395" s="29"/>
      <c r="K395" s="29"/>
    </row>
    <row r="396" spans="6:11" ht="15.75" customHeight="1">
      <c r="F396" s="29"/>
      <c r="G396" s="29"/>
      <c r="H396" s="29"/>
      <c r="I396" s="29"/>
      <c r="J396" s="29"/>
      <c r="K396" s="29"/>
    </row>
    <row r="397" spans="6:11" ht="15.75" customHeight="1">
      <c r="F397" s="29"/>
      <c r="G397" s="29"/>
      <c r="H397" s="29"/>
      <c r="I397" s="29"/>
      <c r="J397" s="29"/>
      <c r="K397" s="29"/>
    </row>
    <row r="398" spans="6:11" ht="15.75" customHeight="1">
      <c r="F398" s="29"/>
      <c r="G398" s="29"/>
      <c r="H398" s="29"/>
      <c r="I398" s="29"/>
      <c r="J398" s="29"/>
      <c r="K398" s="29"/>
    </row>
    <row r="399" spans="6:11" ht="15.75" customHeight="1">
      <c r="F399" s="29"/>
      <c r="G399" s="29"/>
      <c r="H399" s="29"/>
      <c r="I399" s="29"/>
      <c r="J399" s="29"/>
      <c r="K399" s="29"/>
    </row>
    <row r="400" spans="6:11" ht="15.75" customHeight="1">
      <c r="F400" s="29"/>
      <c r="G400" s="29"/>
      <c r="H400" s="29"/>
      <c r="I400" s="29"/>
      <c r="J400" s="29"/>
      <c r="K400" s="29"/>
    </row>
    <row r="401" spans="6:11" ht="15.75" customHeight="1">
      <c r="F401" s="29"/>
      <c r="G401" s="29"/>
      <c r="H401" s="29"/>
      <c r="I401" s="29"/>
      <c r="J401" s="29"/>
      <c r="K401" s="29"/>
    </row>
    <row r="402" spans="6:11" ht="15.75" customHeight="1">
      <c r="F402" s="29"/>
      <c r="G402" s="29"/>
      <c r="H402" s="29"/>
      <c r="I402" s="29"/>
      <c r="J402" s="29"/>
      <c r="K402" s="29"/>
    </row>
    <row r="403" spans="6:11" ht="15.75" customHeight="1">
      <c r="F403" s="29"/>
      <c r="G403" s="29"/>
      <c r="H403" s="29"/>
      <c r="I403" s="29"/>
      <c r="J403" s="29"/>
      <c r="K403" s="29"/>
    </row>
    <row r="404" spans="6:11" ht="15.75" customHeight="1">
      <c r="F404" s="29"/>
      <c r="G404" s="29"/>
      <c r="H404" s="29"/>
      <c r="I404" s="29"/>
      <c r="J404" s="29"/>
      <c r="K404" s="29"/>
    </row>
    <row r="405" spans="6:11" ht="15.75" customHeight="1">
      <c r="F405" s="29"/>
      <c r="G405" s="29"/>
      <c r="H405" s="29"/>
      <c r="I405" s="29"/>
      <c r="J405" s="29"/>
      <c r="K405" s="29"/>
    </row>
    <row r="406" spans="6:11" ht="15.75" customHeight="1">
      <c r="F406" s="29"/>
      <c r="G406" s="29"/>
      <c r="H406" s="29"/>
      <c r="I406" s="29"/>
      <c r="J406" s="29"/>
      <c r="K406" s="29"/>
    </row>
    <row r="407" spans="6:11" ht="15.75" customHeight="1">
      <c r="F407" s="29"/>
      <c r="G407" s="29"/>
      <c r="H407" s="29"/>
      <c r="I407" s="29"/>
      <c r="J407" s="29"/>
      <c r="K407" s="29"/>
    </row>
    <row r="408" spans="6:11" ht="15.75" customHeight="1">
      <c r="F408" s="29"/>
      <c r="G408" s="29"/>
      <c r="H408" s="29"/>
      <c r="I408" s="29"/>
      <c r="J408" s="29"/>
      <c r="K408" s="29"/>
    </row>
    <row r="409" spans="6:11" ht="15.75" customHeight="1">
      <c r="F409" s="29"/>
      <c r="G409" s="29"/>
      <c r="H409" s="29"/>
      <c r="I409" s="29"/>
      <c r="J409" s="29"/>
      <c r="K409" s="29"/>
    </row>
    <row r="410" spans="6:11" ht="15.75" customHeight="1">
      <c r="F410" s="29"/>
      <c r="G410" s="29"/>
      <c r="H410" s="29"/>
      <c r="I410" s="29"/>
      <c r="J410" s="29"/>
      <c r="K410" s="29"/>
    </row>
    <row r="411" spans="6:11" ht="15.75" customHeight="1">
      <c r="F411" s="29"/>
      <c r="G411" s="29"/>
      <c r="H411" s="29"/>
      <c r="I411" s="29"/>
      <c r="J411" s="29"/>
      <c r="K411" s="29"/>
    </row>
    <row r="412" spans="6:11" ht="15.75" customHeight="1">
      <c r="F412" s="29"/>
      <c r="G412" s="29"/>
      <c r="H412" s="29"/>
      <c r="I412" s="29"/>
      <c r="J412" s="29"/>
      <c r="K412" s="29"/>
    </row>
    <row r="413" spans="6:11" ht="15.75" customHeight="1">
      <c r="F413" s="29"/>
      <c r="G413" s="29"/>
      <c r="H413" s="29"/>
      <c r="I413" s="29"/>
      <c r="J413" s="29"/>
      <c r="K413" s="29"/>
    </row>
    <row r="414" spans="6:11" ht="15.75" customHeight="1">
      <c r="F414" s="29"/>
      <c r="G414" s="29"/>
      <c r="H414" s="29"/>
      <c r="I414" s="29"/>
      <c r="J414" s="29"/>
      <c r="K414" s="29"/>
    </row>
    <row r="415" spans="6:11" ht="15.75" customHeight="1">
      <c r="F415" s="29"/>
      <c r="G415" s="29"/>
      <c r="H415" s="29"/>
      <c r="I415" s="29"/>
      <c r="J415" s="29"/>
      <c r="K415" s="29"/>
    </row>
    <row r="416" spans="6:11" ht="15.75" customHeight="1">
      <c r="F416" s="29"/>
      <c r="G416" s="29"/>
      <c r="H416" s="29"/>
      <c r="I416" s="29"/>
      <c r="J416" s="29"/>
      <c r="K416" s="29"/>
    </row>
    <row r="417" spans="6:11" ht="15.75" customHeight="1">
      <c r="F417" s="29"/>
      <c r="G417" s="29"/>
      <c r="H417" s="29"/>
      <c r="I417" s="29"/>
      <c r="J417" s="29"/>
      <c r="K417" s="29"/>
    </row>
    <row r="418" spans="6:11" ht="15.75" customHeight="1">
      <c r="F418" s="29"/>
      <c r="G418" s="29"/>
      <c r="H418" s="29"/>
      <c r="I418" s="29"/>
      <c r="J418" s="29"/>
      <c r="K418" s="29"/>
    </row>
    <row r="419" spans="6:11" ht="15.75" customHeight="1">
      <c r="F419" s="29"/>
      <c r="G419" s="29"/>
      <c r="H419" s="29"/>
      <c r="I419" s="29"/>
      <c r="J419" s="29"/>
      <c r="K419" s="29"/>
    </row>
    <row r="420" spans="6:11" ht="15.75" customHeight="1">
      <c r="F420" s="29"/>
      <c r="G420" s="29"/>
      <c r="H420" s="29"/>
      <c r="I420" s="29"/>
      <c r="J420" s="29"/>
      <c r="K420" s="29"/>
    </row>
    <row r="421" spans="6:11" ht="15.75" customHeight="1">
      <c r="F421" s="29"/>
      <c r="G421" s="29"/>
      <c r="H421" s="29"/>
      <c r="I421" s="29"/>
      <c r="J421" s="29"/>
      <c r="K421" s="29"/>
    </row>
    <row r="422" spans="6:11" ht="15.75" customHeight="1">
      <c r="F422" s="29"/>
      <c r="G422" s="29"/>
      <c r="H422" s="29"/>
      <c r="I422" s="29"/>
      <c r="J422" s="29"/>
      <c r="K422" s="29"/>
    </row>
    <row r="423" spans="6:11" ht="15.75" customHeight="1">
      <c r="F423" s="29"/>
      <c r="G423" s="29"/>
      <c r="H423" s="29"/>
      <c r="I423" s="29"/>
      <c r="J423" s="29"/>
      <c r="K423" s="29"/>
    </row>
    <row r="424" spans="6:11" ht="15.75" customHeight="1">
      <c r="F424" s="29"/>
      <c r="G424" s="29"/>
      <c r="H424" s="29"/>
      <c r="I424" s="29"/>
      <c r="J424" s="29"/>
      <c r="K424" s="29"/>
    </row>
    <row r="425" spans="6:11" ht="15.75" customHeight="1">
      <c r="F425" s="29"/>
      <c r="G425" s="29"/>
      <c r="H425" s="29"/>
      <c r="I425" s="29"/>
      <c r="J425" s="29"/>
      <c r="K425" s="29"/>
    </row>
    <row r="426" spans="6:11" ht="15.75" customHeight="1">
      <c r="F426" s="29"/>
      <c r="G426" s="29"/>
      <c r="H426" s="29"/>
      <c r="I426" s="29"/>
      <c r="J426" s="29"/>
      <c r="K426" s="29"/>
    </row>
    <row r="427" spans="6:11" ht="15.75" customHeight="1">
      <c r="F427" s="29"/>
      <c r="G427" s="29"/>
      <c r="H427" s="29"/>
      <c r="I427" s="29"/>
      <c r="J427" s="29"/>
      <c r="K427" s="29"/>
    </row>
    <row r="428" spans="6:11" ht="15.75" customHeight="1">
      <c r="F428" s="29"/>
      <c r="G428" s="29"/>
      <c r="H428" s="29"/>
      <c r="I428" s="29"/>
      <c r="J428" s="29"/>
      <c r="K428" s="29"/>
    </row>
    <row r="429" spans="6:11" ht="15.75" customHeight="1">
      <c r="F429" s="29"/>
      <c r="G429" s="29"/>
      <c r="H429" s="29"/>
      <c r="I429" s="29"/>
      <c r="J429" s="29"/>
      <c r="K429" s="29"/>
    </row>
    <row r="430" spans="6:11" ht="15.75" customHeight="1">
      <c r="F430" s="29"/>
      <c r="G430" s="29"/>
      <c r="H430" s="29"/>
      <c r="I430" s="29"/>
      <c r="J430" s="29"/>
      <c r="K430" s="29"/>
    </row>
    <row r="431" spans="6:11" ht="15.75" customHeight="1">
      <c r="F431" s="29"/>
      <c r="G431" s="29"/>
      <c r="H431" s="29"/>
      <c r="I431" s="29"/>
      <c r="J431" s="29"/>
      <c r="K431" s="29"/>
    </row>
    <row r="432" spans="6:11" ht="15.75" customHeight="1">
      <c r="F432" s="29"/>
      <c r="G432" s="29"/>
      <c r="H432" s="29"/>
      <c r="I432" s="29"/>
      <c r="J432" s="29"/>
      <c r="K432" s="29"/>
    </row>
    <row r="433" spans="6:11" ht="15.75" customHeight="1">
      <c r="F433" s="29"/>
      <c r="G433" s="29"/>
      <c r="H433" s="29"/>
      <c r="I433" s="29"/>
      <c r="J433" s="29"/>
      <c r="K433" s="29"/>
    </row>
    <row r="434" spans="6:11" ht="15.75" customHeight="1">
      <c r="F434" s="29"/>
      <c r="G434" s="29"/>
      <c r="H434" s="29"/>
      <c r="I434" s="29"/>
      <c r="J434" s="29"/>
      <c r="K434" s="29"/>
    </row>
    <row r="435" spans="6:11" ht="15.75" customHeight="1">
      <c r="F435" s="29"/>
      <c r="G435" s="29"/>
      <c r="H435" s="29"/>
      <c r="I435" s="29"/>
      <c r="J435" s="29"/>
      <c r="K435" s="29"/>
    </row>
    <row r="436" spans="6:11" ht="15.75" customHeight="1">
      <c r="F436" s="29"/>
      <c r="G436" s="29"/>
      <c r="H436" s="29"/>
      <c r="I436" s="29"/>
      <c r="J436" s="29"/>
      <c r="K436" s="29"/>
    </row>
    <row r="437" spans="6:11" ht="15.75" customHeight="1">
      <c r="F437" s="29"/>
      <c r="G437" s="29"/>
      <c r="H437" s="29"/>
      <c r="I437" s="29"/>
      <c r="J437" s="29"/>
      <c r="K437" s="29"/>
    </row>
    <row r="438" spans="6:11" ht="15.75" customHeight="1">
      <c r="F438" s="29"/>
      <c r="G438" s="29"/>
      <c r="H438" s="29"/>
      <c r="I438" s="29"/>
      <c r="J438" s="29"/>
      <c r="K438" s="29"/>
    </row>
    <row r="439" spans="6:11" ht="15.75" customHeight="1">
      <c r="F439" s="29"/>
      <c r="G439" s="29"/>
      <c r="H439" s="29"/>
      <c r="I439" s="29"/>
      <c r="J439" s="29"/>
      <c r="K439" s="29"/>
    </row>
    <row r="440" spans="6:11" ht="15.75" customHeight="1">
      <c r="F440" s="29"/>
      <c r="G440" s="29"/>
      <c r="H440" s="29"/>
      <c r="I440" s="29"/>
      <c r="J440" s="29"/>
      <c r="K440" s="29"/>
    </row>
    <row r="441" spans="6:11" ht="15.75" customHeight="1">
      <c r="F441" s="29"/>
      <c r="G441" s="29"/>
      <c r="H441" s="29"/>
      <c r="I441" s="29"/>
      <c r="J441" s="29"/>
      <c r="K441" s="29"/>
    </row>
    <row r="442" spans="6:11" ht="15.75" customHeight="1">
      <c r="F442" s="29"/>
      <c r="G442" s="29"/>
      <c r="H442" s="29"/>
      <c r="I442" s="29"/>
      <c r="J442" s="29"/>
      <c r="K442" s="29"/>
    </row>
    <row r="443" spans="6:11" ht="15.75" customHeight="1">
      <c r="F443" s="29"/>
      <c r="G443" s="29"/>
      <c r="H443" s="29"/>
      <c r="I443" s="29"/>
      <c r="J443" s="29"/>
      <c r="K443" s="29"/>
    </row>
    <row r="444" spans="6:11" ht="15.75" customHeight="1">
      <c r="F444" s="29"/>
      <c r="G444" s="29"/>
      <c r="H444" s="29"/>
      <c r="I444" s="29"/>
      <c r="J444" s="29"/>
      <c r="K444" s="29"/>
    </row>
    <row r="445" spans="6:11" ht="15.75" customHeight="1">
      <c r="F445" s="29"/>
      <c r="G445" s="29"/>
      <c r="H445" s="29"/>
      <c r="I445" s="29"/>
      <c r="J445" s="29"/>
      <c r="K445" s="29"/>
    </row>
    <row r="446" spans="6:11" ht="15.75" customHeight="1">
      <c r="F446" s="29"/>
      <c r="G446" s="29"/>
      <c r="H446" s="29"/>
      <c r="I446" s="29"/>
      <c r="J446" s="29"/>
      <c r="K446" s="29"/>
    </row>
    <row r="447" spans="6:11" ht="15.75" customHeight="1">
      <c r="F447" s="29"/>
      <c r="G447" s="29"/>
      <c r="H447" s="29"/>
      <c r="I447" s="29"/>
      <c r="J447" s="29"/>
      <c r="K447" s="29"/>
    </row>
    <row r="448" spans="6:11" ht="15.75" customHeight="1">
      <c r="F448" s="29"/>
      <c r="G448" s="29"/>
      <c r="H448" s="29"/>
      <c r="I448" s="29"/>
      <c r="J448" s="29"/>
      <c r="K448" s="29"/>
    </row>
    <row r="449" spans="6:11" ht="15.75" customHeight="1">
      <c r="F449" s="29"/>
      <c r="G449" s="29"/>
      <c r="H449" s="29"/>
      <c r="I449" s="29"/>
      <c r="J449" s="29"/>
      <c r="K449" s="29"/>
    </row>
    <row r="450" spans="6:11" ht="15.75" customHeight="1">
      <c r="F450" s="29"/>
      <c r="G450" s="29"/>
      <c r="H450" s="29"/>
      <c r="I450" s="29"/>
      <c r="J450" s="29"/>
      <c r="K450" s="29"/>
    </row>
    <row r="451" spans="6:11" ht="15.75" customHeight="1">
      <c r="F451" s="29"/>
      <c r="G451" s="29"/>
      <c r="H451" s="29"/>
      <c r="I451" s="29"/>
      <c r="J451" s="29"/>
      <c r="K451" s="29"/>
    </row>
    <row r="452" spans="6:11" ht="15.75" customHeight="1">
      <c r="F452" s="29"/>
      <c r="G452" s="29"/>
      <c r="H452" s="29"/>
      <c r="I452" s="29"/>
      <c r="J452" s="29"/>
      <c r="K452" s="29"/>
    </row>
    <row r="453" spans="6:11" ht="15.75" customHeight="1">
      <c r="F453" s="29"/>
      <c r="G453" s="29"/>
      <c r="H453" s="29"/>
      <c r="I453" s="29"/>
      <c r="J453" s="29"/>
      <c r="K453" s="29"/>
    </row>
    <row r="454" spans="6:11" ht="15.75" customHeight="1">
      <c r="F454" s="29"/>
      <c r="G454" s="29"/>
      <c r="H454" s="29"/>
      <c r="I454" s="29"/>
      <c r="J454" s="29"/>
      <c r="K454" s="29"/>
    </row>
    <row r="455" spans="6:11" ht="15.75" customHeight="1">
      <c r="F455" s="29"/>
      <c r="G455" s="29"/>
      <c r="H455" s="29"/>
      <c r="I455" s="29"/>
      <c r="J455" s="29"/>
      <c r="K455" s="29"/>
    </row>
    <row r="456" spans="6:11" ht="15.75" customHeight="1">
      <c r="F456" s="29"/>
      <c r="G456" s="29"/>
      <c r="H456" s="29"/>
      <c r="I456" s="29"/>
      <c r="J456" s="29"/>
      <c r="K456" s="29"/>
    </row>
    <row r="457" spans="6:11" ht="15.75" customHeight="1">
      <c r="F457" s="29"/>
      <c r="G457" s="29"/>
      <c r="H457" s="29"/>
      <c r="I457" s="29"/>
      <c r="J457" s="29"/>
      <c r="K457" s="29"/>
    </row>
    <row r="458" spans="6:11" ht="15.75" customHeight="1">
      <c r="F458" s="29"/>
      <c r="G458" s="29"/>
      <c r="H458" s="29"/>
      <c r="I458" s="29"/>
      <c r="J458" s="29"/>
      <c r="K458" s="29"/>
    </row>
    <row r="459" spans="6:11" ht="15.75" customHeight="1">
      <c r="F459" s="29"/>
      <c r="G459" s="29"/>
      <c r="H459" s="29"/>
      <c r="I459" s="29"/>
      <c r="J459" s="29"/>
      <c r="K459" s="29"/>
    </row>
    <row r="460" spans="6:11" ht="15.75" customHeight="1">
      <c r="F460" s="29"/>
      <c r="G460" s="29"/>
      <c r="H460" s="29"/>
      <c r="I460" s="29"/>
      <c r="J460" s="29"/>
      <c r="K460" s="29"/>
    </row>
    <row r="461" spans="6:11" ht="15.75" customHeight="1">
      <c r="F461" s="29"/>
      <c r="G461" s="29"/>
      <c r="H461" s="29"/>
      <c r="I461" s="29"/>
      <c r="J461" s="29"/>
      <c r="K461" s="29"/>
    </row>
    <row r="462" spans="6:11" ht="15.75" customHeight="1">
      <c r="F462" s="29"/>
      <c r="G462" s="29"/>
      <c r="H462" s="29"/>
      <c r="I462" s="29"/>
      <c r="J462" s="29"/>
      <c r="K462" s="29"/>
    </row>
    <row r="463" spans="6:11" ht="15.75" customHeight="1">
      <c r="F463" s="29"/>
      <c r="G463" s="29"/>
      <c r="H463" s="29"/>
      <c r="I463" s="29"/>
      <c r="J463" s="29"/>
      <c r="K463" s="29"/>
    </row>
    <row r="464" spans="6:11" ht="15.75" customHeight="1">
      <c r="F464" s="29"/>
      <c r="G464" s="29"/>
      <c r="H464" s="29"/>
      <c r="I464" s="29"/>
      <c r="J464" s="29"/>
      <c r="K464" s="29"/>
    </row>
    <row r="465" spans="6:11" ht="15.75" customHeight="1">
      <c r="F465" s="29"/>
      <c r="G465" s="29"/>
      <c r="H465" s="29"/>
      <c r="I465" s="29"/>
      <c r="J465" s="29"/>
      <c r="K465" s="29"/>
    </row>
    <row r="466" spans="6:11" ht="15.75" customHeight="1">
      <c r="F466" s="29"/>
      <c r="G466" s="29"/>
      <c r="H466" s="29"/>
      <c r="I466" s="29"/>
      <c r="J466" s="29"/>
      <c r="K466" s="29"/>
    </row>
    <row r="467" spans="6:11" ht="15.75" customHeight="1">
      <c r="F467" s="29"/>
      <c r="G467" s="29"/>
      <c r="H467" s="29"/>
      <c r="I467" s="29"/>
      <c r="J467" s="29"/>
      <c r="K467" s="29"/>
    </row>
    <row r="468" spans="6:11" ht="15.75" customHeight="1">
      <c r="F468" s="29"/>
      <c r="G468" s="29"/>
      <c r="H468" s="29"/>
      <c r="I468" s="29"/>
      <c r="J468" s="29"/>
      <c r="K468" s="29"/>
    </row>
    <row r="469" spans="6:11" ht="15.75" customHeight="1">
      <c r="F469" s="29"/>
      <c r="G469" s="29"/>
      <c r="H469" s="29"/>
      <c r="I469" s="29"/>
      <c r="J469" s="29"/>
      <c r="K469" s="29"/>
    </row>
    <row r="470" spans="6:11" ht="15.75" customHeight="1">
      <c r="F470" s="29"/>
      <c r="G470" s="29"/>
      <c r="H470" s="29"/>
      <c r="I470" s="29"/>
      <c r="J470" s="29"/>
      <c r="K470" s="29"/>
    </row>
    <row r="471" spans="6:11" ht="15.75" customHeight="1">
      <c r="F471" s="29"/>
      <c r="G471" s="29"/>
      <c r="H471" s="29"/>
      <c r="I471" s="29"/>
      <c r="J471" s="29"/>
      <c r="K471" s="29"/>
    </row>
    <row r="472" spans="6:11" ht="15.75" customHeight="1">
      <c r="F472" s="29"/>
      <c r="G472" s="29"/>
      <c r="H472" s="29"/>
      <c r="I472" s="29"/>
      <c r="J472" s="29"/>
      <c r="K472" s="29"/>
    </row>
    <row r="473" spans="6:11" ht="15.75" customHeight="1">
      <c r="F473" s="29"/>
      <c r="G473" s="29"/>
      <c r="H473" s="29"/>
      <c r="I473" s="29"/>
      <c r="J473" s="29"/>
      <c r="K473" s="29"/>
    </row>
    <row r="474" spans="6:11" ht="15.75" customHeight="1">
      <c r="F474" s="29"/>
      <c r="G474" s="29"/>
      <c r="H474" s="29"/>
      <c r="I474" s="29"/>
      <c r="J474" s="29"/>
      <c r="K474" s="29"/>
    </row>
    <row r="475" spans="6:11" ht="15.75" customHeight="1">
      <c r="F475" s="29"/>
      <c r="G475" s="29"/>
      <c r="H475" s="29"/>
      <c r="I475" s="29"/>
      <c r="J475" s="29"/>
      <c r="K475" s="29"/>
    </row>
    <row r="476" spans="6:11" ht="15.75" customHeight="1">
      <c r="F476" s="29"/>
      <c r="G476" s="29"/>
      <c r="H476" s="29"/>
      <c r="I476" s="29"/>
      <c r="J476" s="29"/>
      <c r="K476" s="29"/>
    </row>
    <row r="477" spans="6:11" ht="15.75" customHeight="1">
      <c r="F477" s="29"/>
      <c r="G477" s="29"/>
      <c r="H477" s="29"/>
      <c r="I477" s="29"/>
      <c r="J477" s="29"/>
      <c r="K477" s="29"/>
    </row>
    <row r="478" spans="6:11" ht="15.75" customHeight="1">
      <c r="F478" s="29"/>
      <c r="G478" s="29"/>
      <c r="H478" s="29"/>
      <c r="I478" s="29"/>
      <c r="J478" s="29"/>
      <c r="K478" s="29"/>
    </row>
    <row r="479" spans="6:11" ht="15.75" customHeight="1">
      <c r="F479" s="29"/>
      <c r="G479" s="29"/>
      <c r="H479" s="29"/>
      <c r="I479" s="29"/>
      <c r="J479" s="29"/>
      <c r="K479" s="29"/>
    </row>
    <row r="480" spans="6:11" ht="15.75" customHeight="1">
      <c r="F480" s="29"/>
      <c r="G480" s="29"/>
      <c r="H480" s="29"/>
      <c r="I480" s="29"/>
      <c r="J480" s="29"/>
      <c r="K480" s="29"/>
    </row>
    <row r="481" spans="6:11" ht="15.75" customHeight="1">
      <c r="F481" s="29"/>
      <c r="G481" s="29"/>
      <c r="H481" s="29"/>
      <c r="I481" s="29"/>
      <c r="J481" s="29"/>
      <c r="K481" s="29"/>
    </row>
    <row r="482" spans="6:11" ht="15.75" customHeight="1">
      <c r="F482" s="29"/>
      <c r="G482" s="29"/>
      <c r="H482" s="29"/>
      <c r="I482" s="29"/>
      <c r="J482" s="29"/>
      <c r="K482" s="29"/>
    </row>
    <row r="483" spans="6:11" ht="15.75" customHeight="1">
      <c r="F483" s="29"/>
      <c r="G483" s="29"/>
      <c r="H483" s="29"/>
      <c r="I483" s="29"/>
      <c r="J483" s="29"/>
      <c r="K483" s="29"/>
    </row>
    <row r="484" spans="6:11" ht="15.75" customHeight="1">
      <c r="F484" s="29"/>
      <c r="G484" s="29"/>
      <c r="H484" s="29"/>
      <c r="I484" s="29"/>
      <c r="J484" s="29"/>
      <c r="K484" s="29"/>
    </row>
    <row r="485" spans="6:11" ht="15.75" customHeight="1">
      <c r="F485" s="29"/>
      <c r="G485" s="29"/>
      <c r="H485" s="29"/>
      <c r="I485" s="29"/>
      <c r="J485" s="29"/>
      <c r="K485" s="29"/>
    </row>
    <row r="486" spans="6:11" ht="15.75" customHeight="1">
      <c r="F486" s="29"/>
      <c r="G486" s="29"/>
      <c r="H486" s="29"/>
      <c r="I486" s="29"/>
      <c r="J486" s="29"/>
      <c r="K486" s="29"/>
    </row>
    <row r="487" spans="6:11" ht="15.75" customHeight="1">
      <c r="F487" s="29"/>
      <c r="G487" s="29"/>
      <c r="H487" s="29"/>
      <c r="I487" s="29"/>
      <c r="J487" s="29"/>
      <c r="K487" s="29"/>
    </row>
    <row r="488" spans="6:11" ht="15.75" customHeight="1">
      <c r="F488" s="29"/>
      <c r="G488" s="29"/>
      <c r="H488" s="29"/>
      <c r="I488" s="29"/>
      <c r="J488" s="29"/>
      <c r="K488" s="29"/>
    </row>
    <row r="489" spans="6:11" ht="15.75" customHeight="1">
      <c r="F489" s="29"/>
      <c r="G489" s="29"/>
      <c r="H489" s="29"/>
      <c r="I489" s="29"/>
      <c r="J489" s="29"/>
      <c r="K489" s="29"/>
    </row>
    <row r="490" spans="6:11" ht="15.75" customHeight="1">
      <c r="F490" s="29"/>
      <c r="G490" s="29"/>
      <c r="H490" s="29"/>
      <c r="I490" s="29"/>
      <c r="J490" s="29"/>
      <c r="K490" s="29"/>
    </row>
    <row r="491" spans="6:11" ht="15.75" customHeight="1">
      <c r="F491" s="29"/>
      <c r="G491" s="29"/>
      <c r="H491" s="29"/>
      <c r="I491" s="29"/>
      <c r="J491" s="29"/>
      <c r="K491" s="29"/>
    </row>
    <row r="492" spans="6:11" ht="15.75" customHeight="1">
      <c r="F492" s="29"/>
      <c r="G492" s="29"/>
      <c r="H492" s="29"/>
      <c r="I492" s="29"/>
      <c r="J492" s="29"/>
      <c r="K492" s="29"/>
    </row>
    <row r="493" spans="6:11" ht="15.75" customHeight="1">
      <c r="F493" s="29"/>
      <c r="G493" s="29"/>
      <c r="H493" s="29"/>
      <c r="I493" s="29"/>
      <c r="J493" s="29"/>
      <c r="K493" s="29"/>
    </row>
    <row r="494" spans="6:11" ht="15.75" customHeight="1">
      <c r="F494" s="29"/>
      <c r="G494" s="29"/>
      <c r="H494" s="29"/>
      <c r="I494" s="29"/>
      <c r="J494" s="29"/>
      <c r="K494" s="29"/>
    </row>
    <row r="495" spans="6:11" ht="15.75" customHeight="1">
      <c r="F495" s="29"/>
      <c r="G495" s="29"/>
      <c r="H495" s="29"/>
      <c r="I495" s="29"/>
      <c r="J495" s="29"/>
      <c r="K495" s="29"/>
    </row>
    <row r="496" spans="6:11" ht="15.75" customHeight="1">
      <c r="F496" s="29"/>
      <c r="G496" s="29"/>
      <c r="H496" s="29"/>
      <c r="I496" s="29"/>
      <c r="J496" s="29"/>
      <c r="K496" s="29"/>
    </row>
    <row r="497" spans="6:11" ht="15.75" customHeight="1">
      <c r="F497" s="29"/>
      <c r="G497" s="29"/>
      <c r="H497" s="29"/>
      <c r="I497" s="29"/>
      <c r="J497" s="29"/>
      <c r="K497" s="29"/>
    </row>
    <row r="498" spans="6:11" ht="15.75" customHeight="1">
      <c r="F498" s="29"/>
      <c r="G498" s="29"/>
      <c r="H498" s="29"/>
      <c r="I498" s="29"/>
      <c r="J498" s="29"/>
      <c r="K498" s="29"/>
    </row>
    <row r="499" spans="6:11" ht="15.75" customHeight="1">
      <c r="F499" s="29"/>
      <c r="G499" s="29"/>
      <c r="H499" s="29"/>
      <c r="I499" s="29"/>
      <c r="J499" s="29"/>
      <c r="K499" s="29"/>
    </row>
    <row r="500" spans="6:11" ht="15.75" customHeight="1">
      <c r="F500" s="29"/>
      <c r="G500" s="29"/>
      <c r="H500" s="29"/>
      <c r="I500" s="29"/>
      <c r="J500" s="29"/>
      <c r="K500" s="29"/>
    </row>
    <row r="501" spans="6:11" ht="15.75" customHeight="1">
      <c r="F501" s="29"/>
      <c r="G501" s="29"/>
      <c r="H501" s="29"/>
      <c r="I501" s="29"/>
      <c r="J501" s="29"/>
      <c r="K501" s="29"/>
    </row>
    <row r="502" spans="6:11" ht="15.75" customHeight="1">
      <c r="F502" s="29"/>
      <c r="G502" s="29"/>
      <c r="H502" s="29"/>
      <c r="I502" s="29"/>
      <c r="J502" s="29"/>
      <c r="K502" s="29"/>
    </row>
    <row r="503" spans="6:11" ht="15.75" customHeight="1">
      <c r="F503" s="29"/>
      <c r="G503" s="29"/>
      <c r="H503" s="29"/>
      <c r="I503" s="29"/>
      <c r="J503" s="29"/>
      <c r="K503" s="29"/>
    </row>
    <row r="504" spans="6:11" ht="15.75" customHeight="1">
      <c r="F504" s="29"/>
      <c r="G504" s="29"/>
      <c r="H504" s="29"/>
      <c r="I504" s="29"/>
      <c r="J504" s="29"/>
      <c r="K504" s="29"/>
    </row>
    <row r="505" spans="6:11" ht="15.75" customHeight="1">
      <c r="F505" s="29"/>
      <c r="G505" s="29"/>
      <c r="H505" s="29"/>
      <c r="I505" s="29"/>
      <c r="J505" s="29"/>
      <c r="K505" s="29"/>
    </row>
    <row r="506" spans="6:11" ht="15.75" customHeight="1">
      <c r="F506" s="29"/>
      <c r="G506" s="29"/>
      <c r="H506" s="29"/>
      <c r="I506" s="29"/>
      <c r="J506" s="29"/>
      <c r="K506" s="29"/>
    </row>
    <row r="507" spans="6:11" ht="15.75" customHeight="1">
      <c r="F507" s="29"/>
      <c r="G507" s="29"/>
      <c r="H507" s="29"/>
      <c r="I507" s="29"/>
      <c r="J507" s="29"/>
      <c r="K507" s="29"/>
    </row>
    <row r="508" spans="6:11" ht="15.75" customHeight="1">
      <c r="F508" s="29"/>
      <c r="G508" s="29"/>
      <c r="H508" s="29"/>
      <c r="I508" s="29"/>
      <c r="J508" s="29"/>
      <c r="K508" s="29"/>
    </row>
    <row r="509" spans="6:11" ht="15.75" customHeight="1">
      <c r="F509" s="29"/>
      <c r="G509" s="29"/>
      <c r="H509" s="29"/>
      <c r="I509" s="29"/>
      <c r="J509" s="29"/>
      <c r="K509" s="29"/>
    </row>
    <row r="510" spans="6:11" ht="15.75" customHeight="1">
      <c r="F510" s="29"/>
      <c r="G510" s="29"/>
      <c r="H510" s="29"/>
      <c r="I510" s="29"/>
      <c r="J510" s="29"/>
      <c r="K510" s="29"/>
    </row>
    <row r="511" spans="6:11" ht="15.75" customHeight="1">
      <c r="F511" s="29"/>
      <c r="G511" s="29"/>
      <c r="H511" s="29"/>
      <c r="I511" s="29"/>
      <c r="J511" s="29"/>
      <c r="K511" s="29"/>
    </row>
    <row r="512" spans="6:11" ht="15.75" customHeight="1">
      <c r="F512" s="29"/>
      <c r="G512" s="29"/>
      <c r="H512" s="29"/>
      <c r="I512" s="29"/>
      <c r="J512" s="29"/>
      <c r="K512" s="29"/>
    </row>
    <row r="513" spans="6:11" ht="15.75" customHeight="1">
      <c r="F513" s="29"/>
      <c r="G513" s="29"/>
      <c r="H513" s="29"/>
      <c r="I513" s="29"/>
      <c r="J513" s="29"/>
      <c r="K513" s="29"/>
    </row>
    <row r="514" spans="6:11" ht="15.75" customHeight="1">
      <c r="F514" s="29"/>
      <c r="G514" s="29"/>
      <c r="H514" s="29"/>
      <c r="I514" s="29"/>
      <c r="J514" s="29"/>
      <c r="K514" s="29"/>
    </row>
    <row r="515" spans="6:11" ht="15.75" customHeight="1">
      <c r="F515" s="29"/>
      <c r="G515" s="29"/>
      <c r="H515" s="29"/>
      <c r="I515" s="29"/>
      <c r="J515" s="29"/>
      <c r="K515" s="29"/>
    </row>
    <row r="516" spans="6:11" ht="15.75" customHeight="1">
      <c r="F516" s="29"/>
      <c r="G516" s="29"/>
      <c r="H516" s="29"/>
      <c r="I516" s="29"/>
      <c r="J516" s="29"/>
      <c r="K516" s="29"/>
    </row>
    <row r="517" spans="6:11" ht="15.75" customHeight="1">
      <c r="F517" s="29"/>
      <c r="G517" s="29"/>
      <c r="H517" s="29"/>
      <c r="I517" s="29"/>
      <c r="J517" s="29"/>
      <c r="K517" s="29"/>
    </row>
    <row r="518" spans="6:11" ht="15.75" customHeight="1">
      <c r="F518" s="29"/>
      <c r="G518" s="29"/>
      <c r="H518" s="29"/>
      <c r="I518" s="29"/>
      <c r="J518" s="29"/>
      <c r="K518" s="29"/>
    </row>
    <row r="519" spans="6:11" ht="15.75" customHeight="1">
      <c r="F519" s="29"/>
      <c r="G519" s="29"/>
      <c r="H519" s="29"/>
      <c r="I519" s="29"/>
      <c r="J519" s="29"/>
      <c r="K519" s="29"/>
    </row>
    <row r="520" spans="6:11" ht="15.75" customHeight="1">
      <c r="F520" s="29"/>
      <c r="G520" s="29"/>
      <c r="H520" s="29"/>
      <c r="I520" s="29"/>
      <c r="J520" s="29"/>
      <c r="K520" s="29"/>
    </row>
    <row r="521" spans="6:11" ht="15.75" customHeight="1">
      <c r="F521" s="29"/>
      <c r="G521" s="29"/>
      <c r="H521" s="29"/>
      <c r="I521" s="29"/>
      <c r="J521" s="29"/>
      <c r="K521" s="29"/>
    </row>
    <row r="522" spans="6:11" ht="15.75" customHeight="1">
      <c r="F522" s="29"/>
      <c r="G522" s="29"/>
      <c r="H522" s="29"/>
      <c r="I522" s="29"/>
      <c r="J522" s="29"/>
      <c r="K522" s="29"/>
    </row>
    <row r="523" spans="6:11" ht="15.75" customHeight="1">
      <c r="F523" s="29"/>
      <c r="G523" s="29"/>
      <c r="H523" s="29"/>
      <c r="I523" s="29"/>
      <c r="J523" s="29"/>
      <c r="K523" s="29"/>
    </row>
    <row r="524" spans="6:11" ht="15.75" customHeight="1">
      <c r="F524" s="29"/>
      <c r="G524" s="29"/>
      <c r="H524" s="29"/>
      <c r="I524" s="29"/>
      <c r="J524" s="29"/>
      <c r="K524" s="29"/>
    </row>
    <row r="525" spans="6:11" ht="15.75" customHeight="1">
      <c r="F525" s="29"/>
      <c r="G525" s="29"/>
      <c r="H525" s="29"/>
      <c r="I525" s="29"/>
      <c r="J525" s="29"/>
      <c r="K525" s="29"/>
    </row>
    <row r="526" spans="6:11" ht="15.75" customHeight="1">
      <c r="F526" s="29"/>
      <c r="G526" s="29"/>
      <c r="H526" s="29"/>
      <c r="I526" s="29"/>
      <c r="J526" s="29"/>
      <c r="K526" s="29"/>
    </row>
    <row r="527" spans="6:11" ht="15.75" customHeight="1">
      <c r="F527" s="29"/>
      <c r="G527" s="29"/>
      <c r="H527" s="29"/>
      <c r="I527" s="29"/>
      <c r="J527" s="29"/>
      <c r="K527" s="29"/>
    </row>
    <row r="528" spans="6:11" ht="15.75" customHeight="1">
      <c r="F528" s="29"/>
      <c r="G528" s="29"/>
      <c r="H528" s="29"/>
      <c r="I528" s="29"/>
      <c r="J528" s="29"/>
      <c r="K528" s="29"/>
    </row>
    <row r="529" spans="6:11" ht="15.75" customHeight="1">
      <c r="F529" s="29"/>
      <c r="G529" s="29"/>
      <c r="H529" s="29"/>
      <c r="I529" s="29"/>
      <c r="J529" s="29"/>
      <c r="K529" s="29"/>
    </row>
    <row r="530" spans="6:11" ht="15.75" customHeight="1">
      <c r="F530" s="29"/>
      <c r="G530" s="29"/>
      <c r="H530" s="29"/>
      <c r="I530" s="29"/>
      <c r="J530" s="29"/>
      <c r="K530" s="29"/>
    </row>
    <row r="531" spans="6:11" ht="15.75" customHeight="1">
      <c r="F531" s="29"/>
      <c r="G531" s="29"/>
      <c r="H531" s="29"/>
      <c r="I531" s="29"/>
      <c r="J531" s="29"/>
      <c r="K531" s="29"/>
    </row>
    <row r="532" spans="6:11" ht="15.75" customHeight="1">
      <c r="F532" s="29"/>
      <c r="G532" s="29"/>
      <c r="H532" s="29"/>
      <c r="I532" s="29"/>
      <c r="J532" s="29"/>
      <c r="K532" s="29"/>
    </row>
    <row r="533" spans="6:11" ht="15.75" customHeight="1">
      <c r="F533" s="29"/>
      <c r="G533" s="29"/>
      <c r="H533" s="29"/>
      <c r="I533" s="29"/>
      <c r="J533" s="29"/>
      <c r="K533" s="29"/>
    </row>
    <row r="534" spans="6:11" ht="15.75" customHeight="1">
      <c r="F534" s="29"/>
      <c r="G534" s="29"/>
      <c r="H534" s="29"/>
      <c r="I534" s="29"/>
      <c r="J534" s="29"/>
      <c r="K534" s="29"/>
    </row>
    <row r="535" spans="6:11" ht="15.75" customHeight="1">
      <c r="F535" s="29"/>
      <c r="G535" s="29"/>
      <c r="H535" s="29"/>
      <c r="I535" s="29"/>
      <c r="J535" s="29"/>
      <c r="K535" s="29"/>
    </row>
    <row r="536" spans="6:11" ht="15.75" customHeight="1">
      <c r="F536" s="29"/>
      <c r="G536" s="29"/>
      <c r="H536" s="29"/>
      <c r="I536" s="29"/>
      <c r="J536" s="29"/>
      <c r="K536" s="29"/>
    </row>
    <row r="537" spans="6:11" ht="15.75" customHeight="1">
      <c r="F537" s="29"/>
      <c r="G537" s="29"/>
      <c r="H537" s="29"/>
      <c r="I537" s="29"/>
      <c r="J537" s="29"/>
      <c r="K537" s="29"/>
    </row>
    <row r="538" spans="6:11" ht="15.75" customHeight="1">
      <c r="F538" s="29"/>
      <c r="G538" s="29"/>
      <c r="H538" s="29"/>
      <c r="I538" s="29"/>
      <c r="J538" s="29"/>
      <c r="K538" s="29"/>
    </row>
    <row r="539" spans="6:11" ht="15.75" customHeight="1">
      <c r="F539" s="29"/>
      <c r="G539" s="29"/>
      <c r="H539" s="29"/>
      <c r="I539" s="29"/>
      <c r="J539" s="29"/>
      <c r="K539" s="29"/>
    </row>
    <row r="540" spans="6:11" ht="15.75" customHeight="1">
      <c r="F540" s="29"/>
      <c r="G540" s="29"/>
      <c r="H540" s="29"/>
      <c r="I540" s="29"/>
      <c r="J540" s="29"/>
      <c r="K540" s="29"/>
    </row>
    <row r="541" spans="6:11" ht="15.75" customHeight="1">
      <c r="F541" s="29"/>
      <c r="G541" s="29"/>
      <c r="H541" s="29"/>
      <c r="I541" s="29"/>
      <c r="J541" s="29"/>
      <c r="K541" s="29"/>
    </row>
    <row r="542" spans="6:11" ht="15.75" customHeight="1">
      <c r="F542" s="29"/>
      <c r="G542" s="29"/>
      <c r="H542" s="29"/>
      <c r="I542" s="29"/>
      <c r="J542" s="29"/>
      <c r="K542" s="29"/>
    </row>
    <row r="543" spans="6:11" ht="15.75" customHeight="1">
      <c r="F543" s="29"/>
      <c r="G543" s="29"/>
      <c r="H543" s="29"/>
      <c r="I543" s="29"/>
      <c r="J543" s="29"/>
      <c r="K543" s="29"/>
    </row>
    <row r="544" spans="6:11" ht="15.75" customHeight="1">
      <c r="F544" s="29"/>
      <c r="G544" s="29"/>
      <c r="H544" s="29"/>
      <c r="I544" s="29"/>
      <c r="J544" s="29"/>
      <c r="K544" s="29"/>
    </row>
    <row r="545" spans="6:11" ht="15.75" customHeight="1">
      <c r="F545" s="29"/>
      <c r="G545" s="29"/>
      <c r="H545" s="29"/>
      <c r="I545" s="29"/>
      <c r="J545" s="29"/>
      <c r="K545" s="29"/>
    </row>
    <row r="546" spans="6:11" ht="15.75" customHeight="1">
      <c r="F546" s="29"/>
      <c r="G546" s="29"/>
      <c r="H546" s="29"/>
      <c r="I546" s="29"/>
      <c r="J546" s="29"/>
      <c r="K546" s="29"/>
    </row>
    <row r="547" spans="6:11" ht="15.75" customHeight="1">
      <c r="F547" s="29"/>
      <c r="G547" s="29"/>
      <c r="H547" s="29"/>
      <c r="I547" s="29"/>
      <c r="J547" s="29"/>
      <c r="K547" s="29"/>
    </row>
    <row r="548" spans="6:11" ht="15.75" customHeight="1">
      <c r="F548" s="29"/>
      <c r="G548" s="29"/>
      <c r="H548" s="29"/>
      <c r="I548" s="29"/>
      <c r="J548" s="29"/>
      <c r="K548" s="29"/>
    </row>
    <row r="549" spans="6:11" ht="15.75" customHeight="1">
      <c r="F549" s="29"/>
      <c r="G549" s="29"/>
      <c r="H549" s="29"/>
      <c r="I549" s="29"/>
      <c r="J549" s="29"/>
      <c r="K549" s="29"/>
    </row>
    <row r="550" spans="6:11" ht="15.75" customHeight="1">
      <c r="F550" s="29"/>
      <c r="G550" s="29"/>
      <c r="H550" s="29"/>
      <c r="I550" s="29"/>
      <c r="J550" s="29"/>
      <c r="K550" s="29"/>
    </row>
    <row r="551" spans="6:11" ht="15.75" customHeight="1">
      <c r="F551" s="29"/>
      <c r="G551" s="29"/>
      <c r="H551" s="29"/>
      <c r="I551" s="29"/>
      <c r="J551" s="29"/>
      <c r="K551" s="29"/>
    </row>
    <row r="552" spans="6:11" ht="15.75" customHeight="1">
      <c r="F552" s="29"/>
      <c r="G552" s="29"/>
      <c r="H552" s="29"/>
      <c r="I552" s="29"/>
      <c r="J552" s="29"/>
      <c r="K552" s="29"/>
    </row>
    <row r="553" spans="6:11" ht="15.75" customHeight="1">
      <c r="F553" s="29"/>
      <c r="G553" s="29"/>
      <c r="H553" s="29"/>
      <c r="I553" s="29"/>
      <c r="J553" s="29"/>
      <c r="K553" s="29"/>
    </row>
    <row r="554" spans="6:11" ht="15.75" customHeight="1">
      <c r="F554" s="29"/>
      <c r="G554" s="29"/>
      <c r="H554" s="29"/>
      <c r="I554" s="29"/>
      <c r="J554" s="29"/>
      <c r="K554" s="29"/>
    </row>
    <row r="555" spans="6:11" ht="15.75" customHeight="1">
      <c r="F555" s="29"/>
      <c r="G555" s="29"/>
      <c r="H555" s="29"/>
      <c r="I555" s="29"/>
      <c r="J555" s="29"/>
      <c r="K555" s="29"/>
    </row>
    <row r="556" spans="6:11" ht="15.75" customHeight="1">
      <c r="F556" s="29"/>
      <c r="G556" s="29"/>
      <c r="H556" s="29"/>
      <c r="I556" s="29"/>
      <c r="J556" s="29"/>
      <c r="K556" s="29"/>
    </row>
    <row r="557" spans="6:11" ht="15.75" customHeight="1">
      <c r="F557" s="29"/>
      <c r="G557" s="29"/>
      <c r="H557" s="29"/>
      <c r="I557" s="29"/>
      <c r="J557" s="29"/>
      <c r="K557" s="29"/>
    </row>
    <row r="558" spans="6:11" ht="15.75" customHeight="1">
      <c r="F558" s="29"/>
      <c r="G558" s="29"/>
      <c r="H558" s="29"/>
      <c r="I558" s="29"/>
      <c r="J558" s="29"/>
      <c r="K558" s="29"/>
    </row>
    <row r="559" spans="6:11" ht="15.75" customHeight="1">
      <c r="F559" s="29"/>
      <c r="G559" s="29"/>
      <c r="H559" s="29"/>
      <c r="I559" s="29"/>
      <c r="J559" s="29"/>
      <c r="K559" s="29"/>
    </row>
    <row r="560" spans="6:11" ht="15.75" customHeight="1">
      <c r="F560" s="29"/>
      <c r="G560" s="29"/>
      <c r="H560" s="29"/>
      <c r="I560" s="29"/>
      <c r="J560" s="29"/>
      <c r="K560" s="29"/>
    </row>
    <row r="561" spans="6:11" ht="15.75" customHeight="1">
      <c r="F561" s="29"/>
      <c r="G561" s="29"/>
      <c r="H561" s="29"/>
      <c r="I561" s="29"/>
      <c r="J561" s="29"/>
      <c r="K561" s="29"/>
    </row>
    <row r="562" spans="6:11" ht="15.75" customHeight="1">
      <c r="F562" s="29"/>
      <c r="G562" s="29"/>
      <c r="H562" s="29"/>
      <c r="I562" s="29"/>
      <c r="J562" s="29"/>
      <c r="K562" s="29"/>
    </row>
    <row r="563" spans="6:11" ht="15.75" customHeight="1">
      <c r="F563" s="29"/>
      <c r="G563" s="29"/>
      <c r="H563" s="29"/>
      <c r="I563" s="29"/>
      <c r="J563" s="29"/>
      <c r="K563" s="29"/>
    </row>
    <row r="564" spans="6:11" ht="15.75" customHeight="1">
      <c r="F564" s="29"/>
      <c r="G564" s="29"/>
      <c r="H564" s="29"/>
      <c r="I564" s="29"/>
      <c r="J564" s="29"/>
      <c r="K564" s="29"/>
    </row>
    <row r="565" spans="6:11" ht="15.75" customHeight="1">
      <c r="F565" s="29"/>
      <c r="G565" s="29"/>
      <c r="H565" s="29"/>
      <c r="I565" s="29"/>
      <c r="J565" s="29"/>
      <c r="K565" s="29"/>
    </row>
    <row r="566" spans="6:11" ht="15.75" customHeight="1">
      <c r="F566" s="29"/>
      <c r="G566" s="29"/>
      <c r="H566" s="29"/>
      <c r="I566" s="29"/>
      <c r="J566" s="29"/>
      <c r="K566" s="29"/>
    </row>
    <row r="567" spans="6:11" ht="15.75" customHeight="1">
      <c r="F567" s="29"/>
      <c r="G567" s="29"/>
      <c r="H567" s="29"/>
      <c r="I567" s="29"/>
      <c r="J567" s="29"/>
      <c r="K567" s="29"/>
    </row>
    <row r="568" spans="6:11" ht="15.75" customHeight="1">
      <c r="F568" s="29"/>
      <c r="G568" s="29"/>
      <c r="H568" s="29"/>
      <c r="I568" s="29"/>
      <c r="J568" s="29"/>
      <c r="K568" s="29"/>
    </row>
    <row r="569" spans="6:11" ht="15.75" customHeight="1">
      <c r="F569" s="29"/>
      <c r="G569" s="29"/>
      <c r="H569" s="29"/>
      <c r="I569" s="29"/>
      <c r="J569" s="29"/>
      <c r="K569" s="29"/>
    </row>
    <row r="570" spans="6:11" ht="15.75" customHeight="1">
      <c r="F570" s="29"/>
      <c r="G570" s="29"/>
      <c r="H570" s="29"/>
      <c r="I570" s="29"/>
      <c r="J570" s="29"/>
      <c r="K570" s="29"/>
    </row>
    <row r="571" spans="6:11" ht="15.75" customHeight="1">
      <c r="F571" s="29"/>
      <c r="G571" s="29"/>
      <c r="H571" s="29"/>
      <c r="I571" s="29"/>
      <c r="J571" s="29"/>
      <c r="K571" s="29"/>
    </row>
    <row r="572" spans="6:11" ht="15.75" customHeight="1">
      <c r="F572" s="29"/>
      <c r="G572" s="29"/>
      <c r="H572" s="29"/>
      <c r="I572" s="29"/>
      <c r="J572" s="29"/>
      <c r="K572" s="29"/>
    </row>
    <row r="573" spans="6:11" ht="15.75" customHeight="1">
      <c r="F573" s="29"/>
      <c r="G573" s="29"/>
      <c r="H573" s="29"/>
      <c r="I573" s="29"/>
      <c r="J573" s="29"/>
      <c r="K573" s="29"/>
    </row>
    <row r="574" spans="6:11" ht="15.75" customHeight="1">
      <c r="F574" s="29"/>
      <c r="G574" s="29"/>
      <c r="H574" s="29"/>
      <c r="I574" s="29"/>
      <c r="J574" s="29"/>
      <c r="K574" s="29"/>
    </row>
    <row r="575" spans="6:11" ht="15.75" customHeight="1">
      <c r="F575" s="29"/>
      <c r="G575" s="29"/>
      <c r="H575" s="29"/>
      <c r="I575" s="29"/>
      <c r="J575" s="29"/>
      <c r="K575" s="29"/>
    </row>
    <row r="576" spans="6:11" ht="15.75" customHeight="1">
      <c r="F576" s="29"/>
      <c r="G576" s="29"/>
      <c r="H576" s="29"/>
      <c r="I576" s="29"/>
      <c r="J576" s="29"/>
      <c r="K576" s="29"/>
    </row>
    <row r="577" spans="6:11" ht="15.75" customHeight="1">
      <c r="F577" s="29"/>
      <c r="G577" s="29"/>
      <c r="H577" s="29"/>
      <c r="I577" s="29"/>
      <c r="J577" s="29"/>
      <c r="K577" s="29"/>
    </row>
    <row r="578" spans="6:11" ht="15.75" customHeight="1">
      <c r="F578" s="29"/>
      <c r="G578" s="29"/>
      <c r="H578" s="29"/>
      <c r="I578" s="29"/>
      <c r="J578" s="29"/>
      <c r="K578" s="29"/>
    </row>
    <row r="579" spans="6:11" ht="15.75" customHeight="1">
      <c r="F579" s="29"/>
      <c r="G579" s="29"/>
      <c r="H579" s="29"/>
      <c r="I579" s="29"/>
      <c r="J579" s="29"/>
      <c r="K579" s="29"/>
    </row>
    <row r="580" spans="6:11" ht="15.75" customHeight="1">
      <c r="F580" s="29"/>
      <c r="G580" s="29"/>
      <c r="H580" s="29"/>
      <c r="I580" s="29"/>
      <c r="J580" s="29"/>
      <c r="K580" s="29"/>
    </row>
    <row r="581" spans="6:11" ht="15.75" customHeight="1">
      <c r="F581" s="29"/>
      <c r="G581" s="29"/>
      <c r="H581" s="29"/>
      <c r="I581" s="29"/>
      <c r="J581" s="29"/>
      <c r="K581" s="29"/>
    </row>
    <row r="582" spans="6:11" ht="15.75" customHeight="1">
      <c r="F582" s="29"/>
      <c r="G582" s="29"/>
      <c r="H582" s="29"/>
      <c r="I582" s="29"/>
      <c r="J582" s="29"/>
      <c r="K582" s="29"/>
    </row>
    <row r="583" spans="6:11" ht="15.75" customHeight="1">
      <c r="F583" s="29"/>
      <c r="G583" s="29"/>
      <c r="H583" s="29"/>
      <c r="I583" s="29"/>
      <c r="J583" s="29"/>
      <c r="K583" s="29"/>
    </row>
    <row r="584" spans="6:11" ht="15.75" customHeight="1">
      <c r="F584" s="29"/>
      <c r="G584" s="29"/>
      <c r="H584" s="29"/>
      <c r="I584" s="29"/>
      <c r="J584" s="29"/>
      <c r="K584" s="29"/>
    </row>
    <row r="585" spans="6:11" ht="15.75" customHeight="1">
      <c r="F585" s="29"/>
      <c r="G585" s="29"/>
      <c r="H585" s="29"/>
      <c r="I585" s="29"/>
      <c r="J585" s="29"/>
      <c r="K585" s="29"/>
    </row>
    <row r="586" spans="6:11" ht="15.75" customHeight="1">
      <c r="F586" s="29"/>
      <c r="G586" s="29"/>
      <c r="H586" s="29"/>
      <c r="I586" s="29"/>
      <c r="J586" s="29"/>
      <c r="K586" s="29"/>
    </row>
    <row r="587" spans="6:11" ht="15.75" customHeight="1">
      <c r="F587" s="29"/>
      <c r="G587" s="29"/>
      <c r="H587" s="29"/>
      <c r="I587" s="29"/>
      <c r="J587" s="29"/>
      <c r="K587" s="29"/>
    </row>
    <row r="588" spans="6:11" ht="15.75" customHeight="1">
      <c r="F588" s="29"/>
      <c r="G588" s="29"/>
      <c r="H588" s="29"/>
      <c r="I588" s="29"/>
      <c r="J588" s="29"/>
      <c r="K588" s="29"/>
    </row>
    <row r="589" spans="6:11" ht="15.75" customHeight="1">
      <c r="F589" s="29"/>
      <c r="G589" s="29"/>
      <c r="H589" s="29"/>
      <c r="I589" s="29"/>
      <c r="J589" s="29"/>
      <c r="K589" s="29"/>
    </row>
    <row r="590" spans="6:11" ht="15.75" customHeight="1">
      <c r="F590" s="29"/>
      <c r="G590" s="29"/>
      <c r="H590" s="29"/>
      <c r="I590" s="29"/>
      <c r="J590" s="29"/>
      <c r="K590" s="29"/>
    </row>
    <row r="591" spans="6:11" ht="15.75" customHeight="1">
      <c r="F591" s="29"/>
      <c r="G591" s="29"/>
      <c r="H591" s="29"/>
      <c r="I591" s="29"/>
      <c r="J591" s="29"/>
      <c r="K591" s="29"/>
    </row>
    <row r="592" spans="6:11" ht="15.75" customHeight="1">
      <c r="F592" s="29"/>
      <c r="G592" s="29"/>
      <c r="H592" s="29"/>
      <c r="I592" s="29"/>
      <c r="J592" s="29"/>
      <c r="K592" s="29"/>
    </row>
    <row r="593" spans="6:11" ht="15.75" customHeight="1">
      <c r="F593" s="29"/>
      <c r="G593" s="29"/>
      <c r="H593" s="29"/>
      <c r="I593" s="29"/>
      <c r="J593" s="29"/>
      <c r="K593" s="29"/>
    </row>
    <row r="594" spans="6:11" ht="15.75" customHeight="1">
      <c r="F594" s="29"/>
      <c r="G594" s="29"/>
      <c r="H594" s="29"/>
      <c r="I594" s="29"/>
      <c r="J594" s="29"/>
      <c r="K594" s="29"/>
    </row>
    <row r="595" spans="6:11" ht="15.75" customHeight="1">
      <c r="F595" s="29"/>
      <c r="G595" s="29"/>
      <c r="H595" s="29"/>
      <c r="I595" s="29"/>
      <c r="J595" s="29"/>
      <c r="K595" s="29"/>
    </row>
    <row r="596" spans="6:11" ht="15.75" customHeight="1">
      <c r="F596" s="29"/>
      <c r="G596" s="29"/>
      <c r="H596" s="29"/>
      <c r="I596" s="29"/>
      <c r="J596" s="29"/>
      <c r="K596" s="29"/>
    </row>
    <row r="597" spans="6:11" ht="15.75" customHeight="1">
      <c r="F597" s="29"/>
      <c r="G597" s="29"/>
      <c r="H597" s="29"/>
      <c r="I597" s="29"/>
      <c r="J597" s="29"/>
      <c r="K597" s="29"/>
    </row>
    <row r="598" spans="6:11" ht="15.75" customHeight="1">
      <c r="F598" s="29"/>
      <c r="G598" s="29"/>
      <c r="H598" s="29"/>
      <c r="I598" s="29"/>
      <c r="J598" s="29"/>
      <c r="K598" s="29"/>
    </row>
    <row r="599" spans="6:11" ht="15.75" customHeight="1">
      <c r="F599" s="29"/>
      <c r="G599" s="29"/>
      <c r="H599" s="29"/>
      <c r="I599" s="29"/>
      <c r="J599" s="29"/>
      <c r="K599" s="29"/>
    </row>
    <row r="600" spans="6:11" ht="15.75" customHeight="1">
      <c r="F600" s="29"/>
      <c r="G600" s="29"/>
      <c r="H600" s="29"/>
      <c r="I600" s="29"/>
      <c r="J600" s="29"/>
      <c r="K600" s="29"/>
    </row>
    <row r="601" spans="6:11" ht="15.75" customHeight="1">
      <c r="F601" s="29"/>
      <c r="G601" s="29"/>
      <c r="H601" s="29"/>
      <c r="I601" s="29"/>
      <c r="J601" s="29"/>
      <c r="K601" s="29"/>
    </row>
    <row r="602" spans="6:11" ht="15.75" customHeight="1">
      <c r="F602" s="29"/>
      <c r="G602" s="29"/>
      <c r="H602" s="29"/>
      <c r="I602" s="29"/>
      <c r="J602" s="29"/>
      <c r="K602" s="29"/>
    </row>
    <row r="603" spans="6:11" ht="15.75" customHeight="1">
      <c r="F603" s="29"/>
      <c r="G603" s="29"/>
      <c r="H603" s="29"/>
      <c r="I603" s="29"/>
      <c r="J603" s="29"/>
      <c r="K603" s="29"/>
    </row>
    <row r="604" spans="6:11" ht="15.75" customHeight="1">
      <c r="F604" s="29"/>
      <c r="G604" s="29"/>
      <c r="H604" s="29"/>
      <c r="I604" s="29"/>
      <c r="J604" s="29"/>
      <c r="K604" s="29"/>
    </row>
    <row r="605" spans="6:11" ht="15.75" customHeight="1">
      <c r="F605" s="29"/>
      <c r="G605" s="29"/>
      <c r="H605" s="29"/>
      <c r="I605" s="29"/>
      <c r="J605" s="29"/>
      <c r="K605" s="29"/>
    </row>
    <row r="606" spans="6:11" ht="15.75" customHeight="1">
      <c r="F606" s="29"/>
      <c r="G606" s="29"/>
      <c r="H606" s="29"/>
      <c r="I606" s="29"/>
      <c r="J606" s="29"/>
      <c r="K606" s="29"/>
    </row>
    <row r="607" spans="6:11" ht="15.75" customHeight="1">
      <c r="F607" s="29"/>
      <c r="G607" s="29"/>
      <c r="H607" s="29"/>
      <c r="I607" s="29"/>
      <c r="J607" s="29"/>
      <c r="K607" s="29"/>
    </row>
    <row r="608" spans="6:11" ht="15.75" customHeight="1">
      <c r="F608" s="29"/>
      <c r="G608" s="29"/>
      <c r="H608" s="29"/>
      <c r="I608" s="29"/>
      <c r="J608" s="29"/>
      <c r="K608" s="29"/>
    </row>
    <row r="609" spans="6:11" ht="15.75" customHeight="1">
      <c r="F609" s="29"/>
      <c r="G609" s="29"/>
      <c r="H609" s="29"/>
      <c r="I609" s="29"/>
      <c r="J609" s="29"/>
      <c r="K609" s="29"/>
    </row>
    <row r="610" spans="6:11" ht="15.75" customHeight="1">
      <c r="F610" s="29"/>
      <c r="G610" s="29"/>
      <c r="H610" s="29"/>
      <c r="I610" s="29"/>
      <c r="J610" s="29"/>
      <c r="K610" s="29"/>
    </row>
    <row r="611" spans="6:11" ht="15.75" customHeight="1">
      <c r="F611" s="29"/>
      <c r="G611" s="29"/>
      <c r="H611" s="29"/>
      <c r="I611" s="29"/>
      <c r="J611" s="29"/>
      <c r="K611" s="29"/>
    </row>
    <row r="612" spans="6:11" ht="15.75" customHeight="1">
      <c r="F612" s="29"/>
      <c r="G612" s="29"/>
      <c r="H612" s="29"/>
      <c r="I612" s="29"/>
      <c r="J612" s="29"/>
      <c r="K612" s="29"/>
    </row>
    <row r="613" spans="6:11" ht="15.75" customHeight="1">
      <c r="F613" s="29"/>
      <c r="G613" s="29"/>
      <c r="H613" s="29"/>
      <c r="I613" s="29"/>
      <c r="J613" s="29"/>
      <c r="K613" s="29"/>
    </row>
    <row r="614" spans="6:11" ht="15.75" customHeight="1">
      <c r="F614" s="29"/>
      <c r="G614" s="29"/>
      <c r="H614" s="29"/>
      <c r="I614" s="29"/>
      <c r="J614" s="29"/>
      <c r="K614" s="29"/>
    </row>
    <row r="615" spans="6:11" ht="15.75" customHeight="1">
      <c r="F615" s="29"/>
      <c r="G615" s="29"/>
      <c r="H615" s="29"/>
      <c r="I615" s="29"/>
      <c r="J615" s="29"/>
      <c r="K615" s="29"/>
    </row>
    <row r="616" spans="6:11" ht="15.75" customHeight="1">
      <c r="F616" s="29"/>
      <c r="G616" s="29"/>
      <c r="H616" s="29"/>
      <c r="I616" s="29"/>
      <c r="J616" s="29"/>
      <c r="K616" s="29"/>
    </row>
    <row r="617" spans="6:11" ht="15.75" customHeight="1">
      <c r="F617" s="29"/>
      <c r="G617" s="29"/>
      <c r="H617" s="29"/>
      <c r="I617" s="29"/>
      <c r="J617" s="29"/>
      <c r="K617" s="29"/>
    </row>
    <row r="618" spans="6:11" ht="15.75" customHeight="1">
      <c r="F618" s="29"/>
      <c r="G618" s="29"/>
      <c r="H618" s="29"/>
      <c r="I618" s="29"/>
      <c r="J618" s="29"/>
      <c r="K618" s="29"/>
    </row>
    <row r="619" spans="6:11" ht="15.75" customHeight="1">
      <c r="F619" s="29"/>
      <c r="G619" s="29"/>
      <c r="H619" s="29"/>
      <c r="I619" s="29"/>
      <c r="J619" s="29"/>
      <c r="K619" s="29"/>
    </row>
    <row r="620" spans="6:11" ht="15.75" customHeight="1">
      <c r="F620" s="29"/>
      <c r="G620" s="29"/>
      <c r="H620" s="29"/>
      <c r="I620" s="29"/>
      <c r="J620" s="29"/>
      <c r="K620" s="29"/>
    </row>
    <row r="621" spans="6:11" ht="15.75" customHeight="1">
      <c r="F621" s="29"/>
      <c r="G621" s="29"/>
      <c r="H621" s="29"/>
      <c r="I621" s="29"/>
      <c r="J621" s="29"/>
      <c r="K621" s="29"/>
    </row>
    <row r="622" spans="6:11" ht="15.75" customHeight="1">
      <c r="F622" s="29"/>
      <c r="G622" s="29"/>
      <c r="H622" s="29"/>
      <c r="I622" s="29"/>
      <c r="J622" s="29"/>
      <c r="K622" s="29"/>
    </row>
    <row r="623" spans="6:11" ht="15.75" customHeight="1">
      <c r="F623" s="29"/>
      <c r="G623" s="29"/>
      <c r="H623" s="29"/>
      <c r="I623" s="29"/>
      <c r="J623" s="29"/>
      <c r="K623" s="29"/>
    </row>
    <row r="624" spans="6:11" ht="15.75" customHeight="1">
      <c r="F624" s="29"/>
      <c r="G624" s="29"/>
      <c r="H624" s="29"/>
      <c r="I624" s="29"/>
      <c r="J624" s="29"/>
      <c r="K624" s="29"/>
    </row>
    <row r="625" spans="6:11" ht="15.75" customHeight="1">
      <c r="F625" s="29"/>
      <c r="G625" s="29"/>
      <c r="H625" s="29"/>
      <c r="I625" s="29"/>
      <c r="J625" s="29"/>
      <c r="K625" s="29"/>
    </row>
    <row r="626" spans="6:11" ht="15.75" customHeight="1">
      <c r="F626" s="29"/>
      <c r="G626" s="29"/>
      <c r="H626" s="29"/>
      <c r="I626" s="29"/>
      <c r="J626" s="29"/>
      <c r="K626" s="29"/>
    </row>
    <row r="627" spans="6:11" ht="15.75" customHeight="1">
      <c r="F627" s="29"/>
      <c r="G627" s="29"/>
      <c r="H627" s="29"/>
      <c r="I627" s="29"/>
      <c r="J627" s="29"/>
      <c r="K627" s="29"/>
    </row>
    <row r="628" spans="6:11" ht="15.75" customHeight="1">
      <c r="F628" s="29"/>
      <c r="G628" s="29"/>
      <c r="H628" s="29"/>
      <c r="I628" s="29"/>
      <c r="J628" s="29"/>
      <c r="K628" s="29"/>
    </row>
    <row r="629" spans="6:11" ht="15.75" customHeight="1">
      <c r="F629" s="29"/>
      <c r="G629" s="29"/>
      <c r="H629" s="29"/>
      <c r="I629" s="29"/>
      <c r="J629" s="29"/>
      <c r="K629" s="29"/>
    </row>
    <row r="630" spans="6:11" ht="15.75" customHeight="1">
      <c r="F630" s="29"/>
      <c r="G630" s="29"/>
      <c r="H630" s="29"/>
      <c r="I630" s="29"/>
      <c r="J630" s="29"/>
      <c r="K630" s="29"/>
    </row>
    <row r="631" spans="6:11" ht="15.75" customHeight="1">
      <c r="F631" s="29"/>
      <c r="G631" s="29"/>
      <c r="H631" s="29"/>
      <c r="I631" s="29"/>
      <c r="J631" s="29"/>
      <c r="K631" s="29"/>
    </row>
    <row r="632" spans="6:11" ht="15.75" customHeight="1">
      <c r="F632" s="29"/>
      <c r="G632" s="29"/>
      <c r="H632" s="29"/>
      <c r="I632" s="29"/>
      <c r="J632" s="29"/>
      <c r="K632" s="29"/>
    </row>
    <row r="633" spans="6:11" ht="15.75" customHeight="1">
      <c r="F633" s="29"/>
      <c r="G633" s="29"/>
      <c r="H633" s="29"/>
      <c r="I633" s="29"/>
      <c r="J633" s="29"/>
      <c r="K633" s="29"/>
    </row>
    <row r="634" spans="6:11" ht="15.75" customHeight="1">
      <c r="F634" s="29"/>
      <c r="G634" s="29"/>
      <c r="H634" s="29"/>
      <c r="I634" s="29"/>
      <c r="J634" s="29"/>
      <c r="K634" s="29"/>
    </row>
    <row r="635" spans="6:11" ht="15.75" customHeight="1">
      <c r="F635" s="29"/>
      <c r="G635" s="29"/>
      <c r="H635" s="29"/>
      <c r="I635" s="29"/>
      <c r="J635" s="29"/>
      <c r="K635" s="29"/>
    </row>
    <row r="636" spans="6:11" ht="15.75" customHeight="1">
      <c r="F636" s="29"/>
      <c r="G636" s="29"/>
      <c r="H636" s="29"/>
      <c r="I636" s="29"/>
      <c r="J636" s="29"/>
      <c r="K636" s="29"/>
    </row>
    <row r="637" spans="6:11" ht="15.75" customHeight="1">
      <c r="F637" s="29"/>
      <c r="G637" s="29"/>
      <c r="H637" s="29"/>
      <c r="I637" s="29"/>
      <c r="J637" s="29"/>
      <c r="K637" s="29"/>
    </row>
    <row r="638" spans="6:11" ht="15.75" customHeight="1">
      <c r="F638" s="29"/>
      <c r="G638" s="29"/>
      <c r="H638" s="29"/>
      <c r="I638" s="29"/>
      <c r="J638" s="29"/>
      <c r="K638" s="29"/>
    </row>
    <row r="639" spans="6:11" ht="15.75" customHeight="1">
      <c r="F639" s="29"/>
      <c r="G639" s="29"/>
      <c r="H639" s="29"/>
      <c r="I639" s="29"/>
      <c r="J639" s="29"/>
      <c r="K639" s="29"/>
    </row>
    <row r="640" spans="6:11" ht="15.75" customHeight="1">
      <c r="F640" s="29"/>
      <c r="G640" s="29"/>
      <c r="H640" s="29"/>
      <c r="I640" s="29"/>
      <c r="J640" s="29"/>
      <c r="K640" s="29"/>
    </row>
    <row r="641" spans="6:11" ht="15.75" customHeight="1">
      <c r="F641" s="29"/>
      <c r="G641" s="29"/>
      <c r="H641" s="29"/>
      <c r="I641" s="29"/>
      <c r="J641" s="29"/>
      <c r="K641" s="29"/>
    </row>
    <row r="642" spans="6:11" ht="15.75" customHeight="1">
      <c r="F642" s="29"/>
      <c r="G642" s="29"/>
      <c r="H642" s="29"/>
      <c r="I642" s="29"/>
      <c r="J642" s="29"/>
      <c r="K642" s="29"/>
    </row>
    <row r="643" spans="6:11" ht="15.75" customHeight="1">
      <c r="F643" s="29"/>
      <c r="G643" s="29"/>
      <c r="H643" s="29"/>
      <c r="I643" s="29"/>
      <c r="J643" s="29"/>
      <c r="K643" s="29"/>
    </row>
    <row r="644" spans="6:11" ht="15.75" customHeight="1">
      <c r="F644" s="29"/>
      <c r="G644" s="29"/>
      <c r="H644" s="29"/>
      <c r="I644" s="29"/>
      <c r="J644" s="29"/>
      <c r="K644" s="29"/>
    </row>
    <row r="645" spans="6:11" ht="15.75" customHeight="1">
      <c r="F645" s="29"/>
      <c r="G645" s="29"/>
      <c r="H645" s="29"/>
      <c r="I645" s="29"/>
      <c r="J645" s="29"/>
      <c r="K645" s="29"/>
    </row>
    <row r="646" spans="6:11" ht="15.75" customHeight="1">
      <c r="F646" s="29"/>
      <c r="G646" s="29"/>
      <c r="H646" s="29"/>
      <c r="I646" s="29"/>
      <c r="J646" s="29"/>
      <c r="K646" s="29"/>
    </row>
    <row r="647" spans="6:11" ht="15.75" customHeight="1">
      <c r="F647" s="29"/>
      <c r="G647" s="29"/>
      <c r="H647" s="29"/>
      <c r="I647" s="29"/>
      <c r="J647" s="29"/>
      <c r="K647" s="29"/>
    </row>
    <row r="648" spans="6:11" ht="15.75" customHeight="1">
      <c r="F648" s="29"/>
      <c r="G648" s="29"/>
      <c r="H648" s="29"/>
      <c r="I648" s="29"/>
      <c r="J648" s="29"/>
      <c r="K648" s="29"/>
    </row>
    <row r="649" spans="6:11" ht="15.75" customHeight="1">
      <c r="F649" s="29"/>
      <c r="G649" s="29"/>
      <c r="H649" s="29"/>
      <c r="I649" s="29"/>
      <c r="J649" s="29"/>
      <c r="K649" s="29"/>
    </row>
    <row r="650" spans="6:11" ht="15.75" customHeight="1">
      <c r="F650" s="29"/>
      <c r="G650" s="29"/>
      <c r="H650" s="29"/>
      <c r="I650" s="29"/>
      <c r="J650" s="29"/>
      <c r="K650" s="29"/>
    </row>
    <row r="651" spans="6:11" ht="15.75" customHeight="1">
      <c r="F651" s="29"/>
      <c r="G651" s="29"/>
      <c r="H651" s="29"/>
      <c r="I651" s="29"/>
      <c r="J651" s="29"/>
      <c r="K651" s="29"/>
    </row>
    <row r="652" spans="6:11" ht="15.75" customHeight="1">
      <c r="F652" s="29"/>
      <c r="G652" s="29"/>
      <c r="H652" s="29"/>
      <c r="I652" s="29"/>
      <c r="J652" s="29"/>
      <c r="K652" s="29"/>
    </row>
    <row r="653" spans="6:11" ht="15.75" customHeight="1">
      <c r="F653" s="29"/>
      <c r="G653" s="29"/>
      <c r="H653" s="29"/>
      <c r="I653" s="29"/>
      <c r="J653" s="29"/>
      <c r="K653" s="29"/>
    </row>
    <row r="654" spans="6:11" ht="15.75" customHeight="1">
      <c r="F654" s="29"/>
      <c r="G654" s="29"/>
      <c r="H654" s="29"/>
      <c r="I654" s="29"/>
      <c r="J654" s="29"/>
      <c r="K654" s="29"/>
    </row>
    <row r="655" spans="6:11" ht="15.75" customHeight="1">
      <c r="F655" s="29"/>
      <c r="G655" s="29"/>
      <c r="H655" s="29"/>
      <c r="I655" s="29"/>
      <c r="J655" s="29"/>
      <c r="K655" s="29"/>
    </row>
    <row r="656" spans="6:11" ht="15.75" customHeight="1">
      <c r="F656" s="29"/>
      <c r="G656" s="29"/>
      <c r="H656" s="29"/>
      <c r="I656" s="29"/>
      <c r="J656" s="29"/>
      <c r="K656" s="29"/>
    </row>
    <row r="657" spans="6:11" ht="15.75" customHeight="1">
      <c r="F657" s="29"/>
      <c r="G657" s="29"/>
      <c r="H657" s="29"/>
      <c r="I657" s="29"/>
      <c r="J657" s="29"/>
      <c r="K657" s="29"/>
    </row>
    <row r="658" spans="6:11" ht="15.75" customHeight="1">
      <c r="F658" s="29"/>
      <c r="G658" s="29"/>
      <c r="H658" s="29"/>
      <c r="I658" s="29"/>
      <c r="J658" s="29"/>
      <c r="K658" s="29"/>
    </row>
    <row r="659" spans="6:11" ht="15.75" customHeight="1">
      <c r="F659" s="29"/>
      <c r="G659" s="29"/>
      <c r="H659" s="29"/>
      <c r="I659" s="29"/>
      <c r="J659" s="29"/>
      <c r="K659" s="29"/>
    </row>
    <row r="660" spans="6:11" ht="15.75" customHeight="1">
      <c r="F660" s="29"/>
      <c r="G660" s="29"/>
      <c r="H660" s="29"/>
      <c r="I660" s="29"/>
      <c r="J660" s="29"/>
      <c r="K660" s="29"/>
    </row>
    <row r="661" spans="6:11" ht="15.75" customHeight="1">
      <c r="F661" s="29"/>
      <c r="G661" s="29"/>
      <c r="H661" s="29"/>
      <c r="I661" s="29"/>
      <c r="J661" s="29"/>
      <c r="K661" s="29"/>
    </row>
    <row r="662" spans="6:11" ht="15.75" customHeight="1">
      <c r="F662" s="29"/>
      <c r="G662" s="29"/>
      <c r="H662" s="29"/>
      <c r="I662" s="29"/>
      <c r="J662" s="29"/>
      <c r="K662" s="29"/>
    </row>
    <row r="663" spans="6:11" ht="15.75" customHeight="1">
      <c r="F663" s="29"/>
      <c r="G663" s="29"/>
      <c r="H663" s="29"/>
      <c r="I663" s="29"/>
      <c r="J663" s="29"/>
      <c r="K663" s="29"/>
    </row>
    <row r="664" spans="6:11" ht="15.75" customHeight="1">
      <c r="F664" s="29"/>
      <c r="G664" s="29"/>
      <c r="H664" s="29"/>
      <c r="I664" s="29"/>
      <c r="J664" s="29"/>
      <c r="K664" s="29"/>
    </row>
    <row r="665" spans="6:11" ht="15.75" customHeight="1">
      <c r="F665" s="29"/>
      <c r="G665" s="29"/>
      <c r="H665" s="29"/>
      <c r="I665" s="29"/>
      <c r="J665" s="29"/>
      <c r="K665" s="29"/>
    </row>
    <row r="666" spans="6:11" ht="15.75" customHeight="1">
      <c r="F666" s="29"/>
      <c r="G666" s="29"/>
      <c r="H666" s="29"/>
      <c r="I666" s="29"/>
      <c r="J666" s="29"/>
      <c r="K666" s="29"/>
    </row>
    <row r="667" spans="6:11" ht="15.75" customHeight="1">
      <c r="F667" s="29"/>
      <c r="G667" s="29"/>
      <c r="H667" s="29"/>
      <c r="I667" s="29"/>
      <c r="J667" s="29"/>
      <c r="K667" s="29"/>
    </row>
    <row r="668" spans="6:11" ht="15.75" customHeight="1">
      <c r="F668" s="29"/>
      <c r="G668" s="29"/>
      <c r="H668" s="29"/>
      <c r="I668" s="29"/>
      <c r="J668" s="29"/>
      <c r="K668" s="29"/>
    </row>
    <row r="669" spans="6:11" ht="15.75" customHeight="1">
      <c r="F669" s="29"/>
      <c r="G669" s="29"/>
      <c r="H669" s="29"/>
      <c r="I669" s="29"/>
      <c r="J669" s="29"/>
      <c r="K669" s="29"/>
    </row>
    <row r="670" spans="6:11" ht="15.75" customHeight="1">
      <c r="F670" s="29"/>
      <c r="G670" s="29"/>
      <c r="H670" s="29"/>
      <c r="I670" s="29"/>
      <c r="J670" s="29"/>
      <c r="K670" s="29"/>
    </row>
    <row r="671" spans="6:11" ht="15.75" customHeight="1">
      <c r="F671" s="29"/>
      <c r="G671" s="29"/>
      <c r="H671" s="29"/>
      <c r="I671" s="29"/>
      <c r="J671" s="29"/>
      <c r="K671" s="29"/>
    </row>
    <row r="672" spans="6:11" ht="15.75" customHeight="1">
      <c r="F672" s="29"/>
      <c r="G672" s="29"/>
      <c r="H672" s="29"/>
      <c r="I672" s="29"/>
      <c r="J672" s="29"/>
      <c r="K672" s="29"/>
    </row>
    <row r="673" spans="6:11" ht="15.75" customHeight="1">
      <c r="F673" s="29"/>
      <c r="G673" s="29"/>
      <c r="H673" s="29"/>
      <c r="I673" s="29"/>
      <c r="J673" s="29"/>
      <c r="K673" s="29"/>
    </row>
    <row r="674" spans="6:11" ht="15.75" customHeight="1">
      <c r="F674" s="29"/>
      <c r="G674" s="29"/>
      <c r="H674" s="29"/>
      <c r="I674" s="29"/>
      <c r="J674" s="29"/>
      <c r="K674" s="29"/>
    </row>
    <row r="675" spans="6:11" ht="15.75" customHeight="1">
      <c r="F675" s="29"/>
      <c r="G675" s="29"/>
      <c r="H675" s="29"/>
      <c r="I675" s="29"/>
      <c r="J675" s="29"/>
      <c r="K675" s="29"/>
    </row>
    <row r="676" spans="6:11" ht="15.75" customHeight="1">
      <c r="F676" s="29"/>
      <c r="G676" s="29"/>
      <c r="H676" s="29"/>
      <c r="I676" s="29"/>
      <c r="J676" s="29"/>
      <c r="K676" s="29"/>
    </row>
    <row r="677" spans="6:11" ht="15.75" customHeight="1">
      <c r="F677" s="29"/>
      <c r="G677" s="29"/>
      <c r="H677" s="29"/>
      <c r="I677" s="29"/>
      <c r="J677" s="29"/>
      <c r="K677" s="29"/>
    </row>
    <row r="678" spans="6:11" ht="15.75" customHeight="1">
      <c r="F678" s="29"/>
      <c r="G678" s="29"/>
      <c r="H678" s="29"/>
      <c r="I678" s="29"/>
      <c r="J678" s="29"/>
      <c r="K678" s="29"/>
    </row>
    <row r="679" spans="6:11" ht="15.75" customHeight="1">
      <c r="F679" s="29"/>
      <c r="G679" s="29"/>
      <c r="H679" s="29"/>
      <c r="I679" s="29"/>
      <c r="J679" s="29"/>
      <c r="K679" s="29"/>
    </row>
    <row r="680" spans="6:11" ht="15.75" customHeight="1">
      <c r="F680" s="29"/>
      <c r="G680" s="29"/>
      <c r="H680" s="29"/>
      <c r="I680" s="29"/>
      <c r="J680" s="29"/>
      <c r="K680" s="29"/>
    </row>
    <row r="681" spans="6:11" ht="15.75" customHeight="1">
      <c r="F681" s="29"/>
      <c r="G681" s="29"/>
      <c r="H681" s="29"/>
      <c r="I681" s="29"/>
      <c r="J681" s="29"/>
      <c r="K681" s="29"/>
    </row>
    <row r="682" spans="6:11" ht="15.75" customHeight="1">
      <c r="F682" s="29"/>
      <c r="G682" s="29"/>
      <c r="H682" s="29"/>
      <c r="I682" s="29"/>
      <c r="J682" s="29"/>
      <c r="K682" s="29"/>
    </row>
    <row r="683" spans="6:11" ht="15.75" customHeight="1">
      <c r="F683" s="29"/>
      <c r="G683" s="29"/>
      <c r="H683" s="29"/>
      <c r="I683" s="29"/>
      <c r="J683" s="29"/>
      <c r="K683" s="29"/>
    </row>
    <row r="684" spans="6:11" ht="15.75" customHeight="1">
      <c r="F684" s="29"/>
      <c r="G684" s="29"/>
      <c r="H684" s="29"/>
      <c r="I684" s="29"/>
      <c r="J684" s="29"/>
      <c r="K684" s="29"/>
    </row>
    <row r="685" spans="6:11" ht="15.75" customHeight="1">
      <c r="F685" s="29"/>
      <c r="G685" s="29"/>
      <c r="H685" s="29"/>
      <c r="I685" s="29"/>
      <c r="J685" s="29"/>
      <c r="K685" s="29"/>
    </row>
    <row r="686" spans="6:11" ht="15.75" customHeight="1">
      <c r="F686" s="29"/>
      <c r="G686" s="29"/>
      <c r="H686" s="29"/>
      <c r="I686" s="29"/>
      <c r="J686" s="29"/>
      <c r="K686" s="29"/>
    </row>
    <row r="687" spans="6:11" ht="15.75" customHeight="1">
      <c r="F687" s="29"/>
      <c r="G687" s="29"/>
      <c r="H687" s="29"/>
      <c r="I687" s="29"/>
      <c r="J687" s="29"/>
      <c r="K687" s="29"/>
    </row>
    <row r="688" spans="6:11" ht="15.75" customHeight="1">
      <c r="F688" s="29"/>
      <c r="G688" s="29"/>
      <c r="H688" s="29"/>
      <c r="I688" s="29"/>
      <c r="J688" s="29"/>
      <c r="K688" s="29"/>
    </row>
    <row r="689" spans="6:11" ht="15.75" customHeight="1">
      <c r="F689" s="29"/>
      <c r="G689" s="29"/>
      <c r="H689" s="29"/>
      <c r="I689" s="29"/>
      <c r="J689" s="29"/>
      <c r="K689" s="29"/>
    </row>
    <row r="690" spans="6:11" ht="15.75" customHeight="1">
      <c r="F690" s="29"/>
      <c r="G690" s="29"/>
      <c r="H690" s="29"/>
      <c r="I690" s="29"/>
      <c r="J690" s="29"/>
      <c r="K690" s="29"/>
    </row>
    <row r="691" spans="6:11" ht="15.75" customHeight="1">
      <c r="F691" s="29"/>
      <c r="G691" s="29"/>
      <c r="H691" s="29"/>
      <c r="I691" s="29"/>
      <c r="J691" s="29"/>
      <c r="K691" s="29"/>
    </row>
    <row r="692" spans="6:11" ht="15.75" customHeight="1">
      <c r="F692" s="29"/>
      <c r="G692" s="29"/>
      <c r="H692" s="29"/>
      <c r="I692" s="29"/>
      <c r="J692" s="29"/>
      <c r="K692" s="29"/>
    </row>
    <row r="693" spans="6:11" ht="15.75" customHeight="1">
      <c r="F693" s="29"/>
      <c r="G693" s="29"/>
      <c r="H693" s="29"/>
      <c r="I693" s="29"/>
      <c r="J693" s="29"/>
      <c r="K693" s="29"/>
    </row>
    <row r="694" spans="6:11" ht="15.75" customHeight="1">
      <c r="F694" s="29"/>
      <c r="G694" s="29"/>
      <c r="H694" s="29"/>
      <c r="I694" s="29"/>
      <c r="J694" s="29"/>
      <c r="K694" s="29"/>
    </row>
    <row r="695" spans="6:11" ht="15.75" customHeight="1">
      <c r="F695" s="29"/>
      <c r="G695" s="29"/>
      <c r="H695" s="29"/>
      <c r="I695" s="29"/>
      <c r="J695" s="29"/>
      <c r="K695" s="29"/>
    </row>
    <row r="696" spans="6:11" ht="15.75" customHeight="1">
      <c r="F696" s="29"/>
      <c r="G696" s="29"/>
      <c r="H696" s="29"/>
      <c r="I696" s="29"/>
      <c r="J696" s="29"/>
      <c r="K696" s="29"/>
    </row>
    <row r="697" spans="6:11" ht="15.75" customHeight="1">
      <c r="F697" s="29"/>
      <c r="G697" s="29"/>
      <c r="H697" s="29"/>
      <c r="I697" s="29"/>
      <c r="J697" s="29"/>
      <c r="K697" s="29"/>
    </row>
    <row r="698" spans="6:11" ht="15.75" customHeight="1">
      <c r="F698" s="29"/>
      <c r="G698" s="29"/>
      <c r="H698" s="29"/>
      <c r="I698" s="29"/>
      <c r="J698" s="29"/>
      <c r="K698" s="29"/>
    </row>
    <row r="699" spans="6:11" ht="15.75" customHeight="1">
      <c r="F699" s="29"/>
      <c r="G699" s="29"/>
      <c r="H699" s="29"/>
      <c r="I699" s="29"/>
      <c r="J699" s="29"/>
      <c r="K699" s="29"/>
    </row>
    <row r="700" spans="6:11" ht="15.75" customHeight="1">
      <c r="F700" s="29"/>
      <c r="G700" s="29"/>
      <c r="H700" s="29"/>
      <c r="I700" s="29"/>
      <c r="J700" s="29"/>
      <c r="K700" s="29"/>
    </row>
    <row r="701" spans="6:11" ht="15.75" customHeight="1">
      <c r="F701" s="29"/>
      <c r="G701" s="29"/>
      <c r="H701" s="29"/>
      <c r="I701" s="29"/>
      <c r="J701" s="29"/>
      <c r="K701" s="29"/>
    </row>
    <row r="702" spans="6:11" ht="15.75" customHeight="1">
      <c r="F702" s="29"/>
      <c r="G702" s="29"/>
      <c r="H702" s="29"/>
      <c r="I702" s="29"/>
      <c r="J702" s="29"/>
      <c r="K702" s="29"/>
    </row>
    <row r="703" spans="6:11" ht="15.75" customHeight="1">
      <c r="F703" s="29"/>
      <c r="G703" s="29"/>
      <c r="H703" s="29"/>
      <c r="I703" s="29"/>
      <c r="J703" s="29"/>
      <c r="K703" s="29"/>
    </row>
    <row r="704" spans="6:11" ht="15.75" customHeight="1">
      <c r="F704" s="29"/>
      <c r="G704" s="29"/>
      <c r="H704" s="29"/>
      <c r="I704" s="29"/>
      <c r="J704" s="29"/>
      <c r="K704" s="29"/>
    </row>
    <row r="705" spans="6:11" ht="15.75" customHeight="1">
      <c r="F705" s="29"/>
      <c r="G705" s="29"/>
      <c r="H705" s="29"/>
      <c r="I705" s="29"/>
      <c r="J705" s="29"/>
      <c r="K705" s="29"/>
    </row>
    <row r="706" spans="6:11" ht="15.75" customHeight="1">
      <c r="F706" s="29"/>
      <c r="G706" s="29"/>
      <c r="H706" s="29"/>
      <c r="I706" s="29"/>
      <c r="J706" s="29"/>
      <c r="K706" s="29"/>
    </row>
    <row r="707" spans="6:11" ht="15.75" customHeight="1">
      <c r="F707" s="29"/>
      <c r="G707" s="29"/>
      <c r="H707" s="29"/>
      <c r="I707" s="29"/>
      <c r="J707" s="29"/>
      <c r="K707" s="29"/>
    </row>
    <row r="708" spans="6:11" ht="15.75" customHeight="1">
      <c r="F708" s="29"/>
      <c r="G708" s="29"/>
      <c r="H708" s="29"/>
      <c r="I708" s="29"/>
      <c r="J708" s="29"/>
      <c r="K708" s="29"/>
    </row>
    <row r="709" spans="6:11" ht="15.75" customHeight="1">
      <c r="F709" s="29"/>
      <c r="G709" s="29"/>
      <c r="H709" s="29"/>
      <c r="I709" s="29"/>
      <c r="J709" s="29"/>
      <c r="K709" s="29"/>
    </row>
    <row r="710" spans="6:11" ht="15.75" customHeight="1">
      <c r="F710" s="29"/>
      <c r="G710" s="29"/>
      <c r="H710" s="29"/>
      <c r="I710" s="29"/>
      <c r="J710" s="29"/>
      <c r="K710" s="29"/>
    </row>
    <row r="711" spans="6:11" ht="15.75" customHeight="1">
      <c r="F711" s="29"/>
      <c r="G711" s="29"/>
      <c r="H711" s="29"/>
      <c r="I711" s="29"/>
      <c r="J711" s="29"/>
      <c r="K711" s="29"/>
    </row>
    <row r="712" spans="6:11" ht="15.75" customHeight="1">
      <c r="F712" s="29"/>
      <c r="G712" s="29"/>
      <c r="H712" s="29"/>
      <c r="I712" s="29"/>
      <c r="J712" s="29"/>
      <c r="K712" s="29"/>
    </row>
    <row r="713" spans="6:11" ht="15.75" customHeight="1">
      <c r="F713" s="29"/>
      <c r="G713" s="29"/>
      <c r="H713" s="29"/>
      <c r="I713" s="29"/>
      <c r="J713" s="29"/>
      <c r="K713" s="29"/>
    </row>
    <row r="714" spans="6:11" ht="15.75" customHeight="1">
      <c r="F714" s="29"/>
      <c r="G714" s="29"/>
      <c r="H714" s="29"/>
      <c r="I714" s="29"/>
      <c r="J714" s="29"/>
      <c r="K714" s="29"/>
    </row>
    <row r="715" spans="6:11" ht="15.75" customHeight="1">
      <c r="F715" s="29"/>
      <c r="G715" s="29"/>
      <c r="H715" s="29"/>
      <c r="I715" s="29"/>
      <c r="J715" s="29"/>
      <c r="K715" s="29"/>
    </row>
    <row r="716" spans="6:11" ht="15.75" customHeight="1">
      <c r="F716" s="29"/>
      <c r="G716" s="29"/>
      <c r="H716" s="29"/>
      <c r="I716" s="29"/>
      <c r="J716" s="29"/>
      <c r="K716" s="29"/>
    </row>
    <row r="717" spans="6:11" ht="15.75" customHeight="1">
      <c r="F717" s="29"/>
      <c r="G717" s="29"/>
      <c r="H717" s="29"/>
      <c r="I717" s="29"/>
      <c r="J717" s="29"/>
      <c r="K717" s="29"/>
    </row>
    <row r="718" spans="6:11" ht="15.75" customHeight="1">
      <c r="F718" s="29"/>
      <c r="G718" s="29"/>
      <c r="H718" s="29"/>
      <c r="I718" s="29"/>
      <c r="J718" s="29"/>
      <c r="K718" s="29"/>
    </row>
    <row r="719" spans="6:11" ht="15.75" customHeight="1">
      <c r="F719" s="29"/>
      <c r="G719" s="29"/>
      <c r="H719" s="29"/>
      <c r="I719" s="29"/>
      <c r="J719" s="29"/>
      <c r="K719" s="29"/>
    </row>
    <row r="720" spans="6:11" ht="15.75" customHeight="1">
      <c r="F720" s="29"/>
      <c r="G720" s="29"/>
      <c r="H720" s="29"/>
      <c r="I720" s="29"/>
      <c r="J720" s="29"/>
      <c r="K720" s="29"/>
    </row>
    <row r="721" spans="6:11" ht="15.75" customHeight="1">
      <c r="F721" s="29"/>
      <c r="G721" s="29"/>
      <c r="H721" s="29"/>
      <c r="I721" s="29"/>
      <c r="J721" s="29"/>
      <c r="K721" s="29"/>
    </row>
    <row r="722" spans="6:11" ht="15.75" customHeight="1">
      <c r="F722" s="29"/>
      <c r="G722" s="29"/>
      <c r="H722" s="29"/>
      <c r="I722" s="29"/>
      <c r="J722" s="29"/>
      <c r="K722" s="29"/>
    </row>
    <row r="723" spans="6:11" ht="15.75" customHeight="1">
      <c r="F723" s="29"/>
      <c r="G723" s="29"/>
      <c r="H723" s="29"/>
      <c r="I723" s="29"/>
      <c r="J723" s="29"/>
      <c r="K723" s="29"/>
    </row>
    <row r="724" spans="6:11" ht="15.75" customHeight="1">
      <c r="F724" s="29"/>
      <c r="G724" s="29"/>
      <c r="H724" s="29"/>
      <c r="I724" s="29"/>
      <c r="J724" s="29"/>
      <c r="K724" s="29"/>
    </row>
    <row r="725" spans="6:11" ht="15.75" customHeight="1">
      <c r="F725" s="29"/>
      <c r="G725" s="29"/>
      <c r="H725" s="29"/>
      <c r="I725" s="29"/>
      <c r="J725" s="29"/>
      <c r="K725" s="29"/>
    </row>
    <row r="726" spans="6:11" ht="15.75" customHeight="1">
      <c r="F726" s="29"/>
      <c r="G726" s="29"/>
      <c r="H726" s="29"/>
      <c r="I726" s="29"/>
      <c r="J726" s="29"/>
      <c r="K726" s="29"/>
    </row>
    <row r="727" spans="6:11" ht="15.75" customHeight="1">
      <c r="F727" s="29"/>
      <c r="G727" s="29"/>
      <c r="H727" s="29"/>
      <c r="I727" s="29"/>
      <c r="J727" s="29"/>
      <c r="K727" s="29"/>
    </row>
    <row r="728" spans="6:11" ht="15.75" customHeight="1">
      <c r="F728" s="29"/>
      <c r="G728" s="29"/>
      <c r="H728" s="29"/>
      <c r="I728" s="29"/>
      <c r="J728" s="29"/>
      <c r="K728" s="29"/>
    </row>
    <row r="729" spans="6:11" ht="15.75" customHeight="1">
      <c r="F729" s="29"/>
      <c r="G729" s="29"/>
      <c r="H729" s="29"/>
      <c r="I729" s="29"/>
      <c r="J729" s="29"/>
      <c r="K729" s="29"/>
    </row>
    <row r="730" spans="6:11" ht="15.75" customHeight="1">
      <c r="F730" s="29"/>
      <c r="G730" s="29"/>
      <c r="H730" s="29"/>
      <c r="I730" s="29"/>
      <c r="J730" s="29"/>
      <c r="K730" s="29"/>
    </row>
    <row r="731" spans="6:11" ht="15.75" customHeight="1">
      <c r="F731" s="29"/>
      <c r="G731" s="29"/>
      <c r="H731" s="29"/>
      <c r="I731" s="29"/>
      <c r="J731" s="29"/>
      <c r="K731" s="29"/>
    </row>
    <row r="732" spans="6:11" ht="15.75" customHeight="1">
      <c r="F732" s="29"/>
      <c r="G732" s="29"/>
      <c r="H732" s="29"/>
      <c r="I732" s="29"/>
      <c r="J732" s="29"/>
      <c r="K732" s="29"/>
    </row>
    <row r="733" spans="6:11" ht="15.75" customHeight="1">
      <c r="F733" s="29"/>
      <c r="G733" s="29"/>
      <c r="H733" s="29"/>
      <c r="I733" s="29"/>
      <c r="J733" s="29"/>
      <c r="K733" s="29"/>
    </row>
    <row r="734" spans="6:11" ht="15.75" customHeight="1">
      <c r="F734" s="29"/>
      <c r="G734" s="29"/>
      <c r="H734" s="29"/>
      <c r="I734" s="29"/>
      <c r="J734" s="29"/>
      <c r="K734" s="29"/>
    </row>
    <row r="735" spans="6:11" ht="15.75" customHeight="1">
      <c r="F735" s="29"/>
      <c r="G735" s="29"/>
      <c r="H735" s="29"/>
      <c r="I735" s="29"/>
      <c r="J735" s="29"/>
      <c r="K735" s="29"/>
    </row>
    <row r="736" spans="6:11" ht="15.75" customHeight="1">
      <c r="F736" s="29"/>
      <c r="G736" s="29"/>
      <c r="H736" s="29"/>
      <c r="I736" s="29"/>
      <c r="J736" s="29"/>
      <c r="K736" s="29"/>
    </row>
    <row r="737" spans="6:11" ht="15.75" customHeight="1">
      <c r="F737" s="29"/>
      <c r="G737" s="29"/>
      <c r="H737" s="29"/>
      <c r="I737" s="29"/>
      <c r="J737" s="29"/>
      <c r="K737" s="29"/>
    </row>
    <row r="738" spans="6:11" ht="15.75" customHeight="1">
      <c r="F738" s="29"/>
      <c r="G738" s="29"/>
      <c r="H738" s="29"/>
      <c r="I738" s="29"/>
      <c r="J738" s="29"/>
      <c r="K738" s="29"/>
    </row>
    <row r="739" spans="6:11" ht="15.75" customHeight="1">
      <c r="F739" s="29"/>
      <c r="G739" s="29"/>
      <c r="H739" s="29"/>
      <c r="I739" s="29"/>
      <c r="J739" s="29"/>
      <c r="K739" s="29"/>
    </row>
    <row r="740" spans="6:11" ht="15.75" customHeight="1">
      <c r="F740" s="29"/>
      <c r="G740" s="29"/>
      <c r="H740" s="29"/>
      <c r="I740" s="29"/>
      <c r="J740" s="29"/>
      <c r="K740" s="29"/>
    </row>
    <row r="741" spans="6:11" ht="15.75" customHeight="1">
      <c r="F741" s="29"/>
      <c r="G741" s="29"/>
      <c r="H741" s="29"/>
      <c r="I741" s="29"/>
      <c r="J741" s="29"/>
      <c r="K741" s="29"/>
    </row>
    <row r="742" spans="6:11" ht="15.75" customHeight="1">
      <c r="F742" s="29"/>
      <c r="G742" s="29"/>
      <c r="H742" s="29"/>
      <c r="I742" s="29"/>
      <c r="J742" s="29"/>
      <c r="K742" s="29"/>
    </row>
    <row r="743" spans="6:11" ht="15.75" customHeight="1">
      <c r="F743" s="29"/>
      <c r="G743" s="29"/>
      <c r="H743" s="29"/>
      <c r="I743" s="29"/>
      <c r="J743" s="29"/>
      <c r="K743" s="29"/>
    </row>
    <row r="744" spans="6:11" ht="15.75" customHeight="1">
      <c r="F744" s="29"/>
      <c r="G744" s="29"/>
      <c r="H744" s="29"/>
      <c r="I744" s="29"/>
      <c r="J744" s="29"/>
      <c r="K744" s="29"/>
    </row>
    <row r="745" spans="6:11" ht="15.75" customHeight="1">
      <c r="F745" s="29"/>
      <c r="G745" s="29"/>
      <c r="H745" s="29"/>
      <c r="I745" s="29"/>
      <c r="J745" s="29"/>
      <c r="K745" s="29"/>
    </row>
    <row r="746" spans="6:11" ht="15.75" customHeight="1">
      <c r="F746" s="29"/>
      <c r="G746" s="29"/>
      <c r="H746" s="29"/>
      <c r="I746" s="29"/>
      <c r="J746" s="29"/>
      <c r="K746" s="29"/>
    </row>
    <row r="747" spans="6:11" ht="15.75" customHeight="1">
      <c r="F747" s="29"/>
      <c r="G747" s="29"/>
      <c r="H747" s="29"/>
      <c r="I747" s="29"/>
      <c r="J747" s="29"/>
      <c r="K747" s="29"/>
    </row>
    <row r="748" spans="6:11" ht="15.75" customHeight="1">
      <c r="F748" s="29"/>
      <c r="G748" s="29"/>
      <c r="H748" s="29"/>
      <c r="I748" s="29"/>
      <c r="J748" s="29"/>
      <c r="K748" s="29"/>
    </row>
    <row r="749" spans="6:11" ht="15.75" customHeight="1">
      <c r="F749" s="29"/>
      <c r="G749" s="29"/>
      <c r="H749" s="29"/>
      <c r="I749" s="29"/>
      <c r="J749" s="29"/>
      <c r="K749" s="29"/>
    </row>
    <row r="750" spans="6:11" ht="15.75" customHeight="1">
      <c r="F750" s="29"/>
      <c r="G750" s="29"/>
      <c r="H750" s="29"/>
      <c r="I750" s="29"/>
      <c r="J750" s="29"/>
      <c r="K750" s="29"/>
    </row>
    <row r="751" spans="6:11" ht="15.75" customHeight="1">
      <c r="F751" s="29"/>
      <c r="G751" s="29"/>
      <c r="H751" s="29"/>
      <c r="I751" s="29"/>
      <c r="J751" s="29"/>
      <c r="K751" s="29"/>
    </row>
    <row r="752" spans="6:11" ht="15.75" customHeight="1">
      <c r="F752" s="29"/>
      <c r="G752" s="29"/>
      <c r="H752" s="29"/>
      <c r="I752" s="29"/>
      <c r="J752" s="29"/>
      <c r="K752" s="29"/>
    </row>
    <row r="753" spans="6:11" ht="15.75" customHeight="1">
      <c r="F753" s="29"/>
      <c r="G753" s="29"/>
      <c r="H753" s="29"/>
      <c r="I753" s="29"/>
      <c r="J753" s="29"/>
      <c r="K753" s="29"/>
    </row>
    <row r="754" spans="6:11" ht="15.75" customHeight="1">
      <c r="F754" s="29"/>
      <c r="G754" s="29"/>
      <c r="H754" s="29"/>
      <c r="I754" s="29"/>
      <c r="J754" s="29"/>
      <c r="K754" s="29"/>
    </row>
    <row r="755" spans="6:11" ht="15.75" customHeight="1">
      <c r="F755" s="29"/>
      <c r="G755" s="29"/>
      <c r="H755" s="29"/>
      <c r="I755" s="29"/>
      <c r="J755" s="29"/>
      <c r="K755" s="29"/>
    </row>
    <row r="756" spans="6:11" ht="15.75" customHeight="1">
      <c r="F756" s="29"/>
      <c r="G756" s="29"/>
      <c r="H756" s="29"/>
      <c r="I756" s="29"/>
      <c r="J756" s="29"/>
      <c r="K756" s="29"/>
    </row>
    <row r="757" spans="6:11" ht="15.75" customHeight="1">
      <c r="F757" s="29"/>
      <c r="G757" s="29"/>
      <c r="H757" s="29"/>
      <c r="I757" s="29"/>
      <c r="J757" s="29"/>
      <c r="K757" s="29"/>
    </row>
    <row r="758" spans="6:11" ht="15.75" customHeight="1">
      <c r="F758" s="29"/>
      <c r="G758" s="29"/>
      <c r="H758" s="29"/>
      <c r="I758" s="29"/>
      <c r="J758" s="29"/>
      <c r="K758" s="29"/>
    </row>
    <row r="759" spans="6:11" ht="15.75" customHeight="1">
      <c r="F759" s="29"/>
      <c r="G759" s="29"/>
      <c r="H759" s="29"/>
      <c r="I759" s="29"/>
      <c r="J759" s="29"/>
      <c r="K759" s="29"/>
    </row>
    <row r="760" spans="6:11" ht="15.75" customHeight="1">
      <c r="F760" s="29"/>
      <c r="G760" s="29"/>
      <c r="H760" s="29"/>
      <c r="I760" s="29"/>
      <c r="J760" s="29"/>
      <c r="K760" s="29"/>
    </row>
    <row r="761" spans="6:11" ht="15.75" customHeight="1">
      <c r="F761" s="29"/>
      <c r="G761" s="29"/>
      <c r="H761" s="29"/>
      <c r="I761" s="29"/>
      <c r="J761" s="29"/>
      <c r="K761" s="29"/>
    </row>
    <row r="762" spans="6:11" ht="15.75" customHeight="1">
      <c r="F762" s="29"/>
      <c r="G762" s="29"/>
      <c r="H762" s="29"/>
      <c r="I762" s="29"/>
      <c r="J762" s="29"/>
      <c r="K762" s="29"/>
    </row>
    <row r="763" spans="6:11" ht="15.75" customHeight="1">
      <c r="F763" s="29"/>
      <c r="G763" s="29"/>
      <c r="H763" s="29"/>
      <c r="I763" s="29"/>
      <c r="J763" s="29"/>
      <c r="K763" s="29"/>
    </row>
    <row r="764" spans="6:11" ht="15.75" customHeight="1">
      <c r="F764" s="29"/>
      <c r="G764" s="29"/>
      <c r="H764" s="29"/>
      <c r="I764" s="29"/>
      <c r="J764" s="29"/>
      <c r="K764" s="29"/>
    </row>
    <row r="765" spans="6:11" ht="15.75" customHeight="1">
      <c r="F765" s="29"/>
      <c r="G765" s="29"/>
      <c r="H765" s="29"/>
      <c r="I765" s="29"/>
      <c r="J765" s="29"/>
      <c r="K765" s="29"/>
    </row>
    <row r="766" spans="6:11" ht="15.75" customHeight="1">
      <c r="F766" s="29"/>
      <c r="G766" s="29"/>
      <c r="H766" s="29"/>
      <c r="I766" s="29"/>
      <c r="J766" s="29"/>
      <c r="K766" s="29"/>
    </row>
    <row r="767" spans="6:11" ht="15.75" customHeight="1">
      <c r="F767" s="29"/>
      <c r="G767" s="29"/>
      <c r="H767" s="29"/>
      <c r="I767" s="29"/>
      <c r="J767" s="29"/>
      <c r="K767" s="29"/>
    </row>
    <row r="768" spans="6:11" ht="15.75" customHeight="1">
      <c r="F768" s="29"/>
      <c r="G768" s="29"/>
      <c r="H768" s="29"/>
      <c r="I768" s="29"/>
      <c r="J768" s="29"/>
      <c r="K768" s="29"/>
    </row>
    <row r="769" spans="6:11" ht="15.75" customHeight="1">
      <c r="F769" s="29"/>
      <c r="G769" s="29"/>
      <c r="H769" s="29"/>
      <c r="I769" s="29"/>
      <c r="J769" s="29"/>
      <c r="K769" s="29"/>
    </row>
    <row r="770" spans="6:11" ht="15.75" customHeight="1">
      <c r="F770" s="29"/>
      <c r="G770" s="29"/>
      <c r="H770" s="29"/>
      <c r="I770" s="29"/>
      <c r="J770" s="29"/>
      <c r="K770" s="29"/>
    </row>
    <row r="771" spans="6:11" ht="15.75" customHeight="1">
      <c r="F771" s="29"/>
      <c r="G771" s="29"/>
      <c r="H771" s="29"/>
      <c r="I771" s="29"/>
      <c r="J771" s="29"/>
      <c r="K771" s="29"/>
    </row>
    <row r="772" spans="6:11" ht="15.75" customHeight="1">
      <c r="F772" s="29"/>
      <c r="G772" s="29"/>
      <c r="H772" s="29"/>
      <c r="I772" s="29"/>
      <c r="J772" s="29"/>
      <c r="K772" s="29"/>
    </row>
    <row r="773" spans="6:11" ht="15.75" customHeight="1">
      <c r="F773" s="29"/>
      <c r="G773" s="29"/>
      <c r="H773" s="29"/>
      <c r="I773" s="29"/>
      <c r="J773" s="29"/>
      <c r="K773" s="29"/>
    </row>
    <row r="774" spans="6:11" ht="15.75" customHeight="1">
      <c r="F774" s="29"/>
      <c r="G774" s="29"/>
      <c r="H774" s="29"/>
      <c r="I774" s="29"/>
      <c r="J774" s="29"/>
      <c r="K774" s="29"/>
    </row>
    <row r="775" spans="6:11" ht="15.75" customHeight="1">
      <c r="F775" s="29"/>
      <c r="G775" s="29"/>
      <c r="H775" s="29"/>
      <c r="I775" s="29"/>
      <c r="J775" s="29"/>
      <c r="K775" s="29"/>
    </row>
    <row r="776" spans="6:11" ht="15.75" customHeight="1">
      <c r="F776" s="29"/>
      <c r="G776" s="29"/>
      <c r="H776" s="29"/>
      <c r="I776" s="29"/>
      <c r="J776" s="29"/>
      <c r="K776" s="29"/>
    </row>
    <row r="777" spans="6:11" ht="15.75" customHeight="1">
      <c r="F777" s="29"/>
      <c r="G777" s="29"/>
      <c r="H777" s="29"/>
      <c r="I777" s="29"/>
      <c r="J777" s="29"/>
      <c r="K777" s="29"/>
    </row>
    <row r="778" spans="6:11" ht="15.75" customHeight="1">
      <c r="F778" s="29"/>
      <c r="G778" s="29"/>
      <c r="H778" s="29"/>
      <c r="I778" s="29"/>
      <c r="J778" s="29"/>
      <c r="K778" s="29"/>
    </row>
    <row r="779" spans="6:11" ht="15.75" customHeight="1">
      <c r="F779" s="29"/>
      <c r="G779" s="29"/>
      <c r="H779" s="29"/>
      <c r="I779" s="29"/>
      <c r="J779" s="29"/>
      <c r="K779" s="29"/>
    </row>
    <row r="780" spans="6:11" ht="15.75" customHeight="1">
      <c r="F780" s="29"/>
      <c r="G780" s="29"/>
      <c r="H780" s="29"/>
      <c r="I780" s="29"/>
      <c r="J780" s="29"/>
      <c r="K780" s="29"/>
    </row>
    <row r="781" spans="6:11" ht="15.75" customHeight="1">
      <c r="F781" s="29"/>
      <c r="G781" s="29"/>
      <c r="H781" s="29"/>
      <c r="I781" s="29"/>
      <c r="J781" s="29"/>
      <c r="K781" s="29"/>
    </row>
    <row r="782" spans="6:11" ht="15.75" customHeight="1">
      <c r="F782" s="29"/>
      <c r="G782" s="29"/>
      <c r="H782" s="29"/>
      <c r="I782" s="29"/>
      <c r="J782" s="29"/>
      <c r="K782" s="29"/>
    </row>
    <row r="783" spans="6:11" ht="15.75" customHeight="1">
      <c r="F783" s="29"/>
      <c r="G783" s="29"/>
      <c r="H783" s="29"/>
      <c r="I783" s="29"/>
      <c r="J783" s="29"/>
      <c r="K783" s="29"/>
    </row>
    <row r="784" spans="6:11" ht="15.75" customHeight="1">
      <c r="F784" s="29"/>
      <c r="G784" s="29"/>
      <c r="H784" s="29"/>
      <c r="I784" s="29"/>
      <c r="J784" s="29"/>
      <c r="K784" s="29"/>
    </row>
    <row r="785" spans="6:11" ht="15.75" customHeight="1">
      <c r="F785" s="29"/>
      <c r="G785" s="29"/>
      <c r="H785" s="29"/>
      <c r="I785" s="29"/>
      <c r="J785" s="29"/>
      <c r="K785" s="29"/>
    </row>
    <row r="786" spans="6:11" ht="15.75" customHeight="1">
      <c r="F786" s="29"/>
      <c r="G786" s="29"/>
      <c r="H786" s="29"/>
      <c r="I786" s="29"/>
      <c r="J786" s="29"/>
      <c r="K786" s="29"/>
    </row>
    <row r="787" spans="6:11" ht="15.75" customHeight="1">
      <c r="F787" s="29"/>
      <c r="G787" s="29"/>
      <c r="H787" s="29"/>
      <c r="I787" s="29"/>
      <c r="J787" s="29"/>
      <c r="K787" s="29"/>
    </row>
    <row r="788" spans="6:11" ht="15.75" customHeight="1">
      <c r="F788" s="29"/>
      <c r="G788" s="29"/>
      <c r="H788" s="29"/>
      <c r="I788" s="29"/>
      <c r="J788" s="29"/>
      <c r="K788" s="29"/>
    </row>
    <row r="789" spans="6:11" ht="15.75" customHeight="1">
      <c r="F789" s="29"/>
      <c r="G789" s="29"/>
      <c r="H789" s="29"/>
      <c r="I789" s="29"/>
      <c r="J789" s="29"/>
      <c r="K789" s="29"/>
    </row>
    <row r="790" spans="6:11" ht="15.75" customHeight="1">
      <c r="F790" s="29"/>
      <c r="G790" s="29"/>
      <c r="H790" s="29"/>
      <c r="I790" s="29"/>
      <c r="J790" s="29"/>
      <c r="K790" s="29"/>
    </row>
    <row r="791" spans="6:11" ht="15.75" customHeight="1">
      <c r="F791" s="29"/>
      <c r="G791" s="29"/>
      <c r="H791" s="29"/>
      <c r="I791" s="29"/>
      <c r="J791" s="29"/>
      <c r="K791" s="29"/>
    </row>
    <row r="792" spans="6:11" ht="15.75" customHeight="1">
      <c r="F792" s="29"/>
      <c r="G792" s="29"/>
      <c r="H792" s="29"/>
      <c r="I792" s="29"/>
      <c r="J792" s="29"/>
      <c r="K792" s="29"/>
    </row>
    <row r="793" spans="6:11" ht="15.75" customHeight="1">
      <c r="F793" s="29"/>
      <c r="G793" s="29"/>
      <c r="H793" s="29"/>
      <c r="I793" s="29"/>
      <c r="J793" s="29"/>
      <c r="K793" s="29"/>
    </row>
    <row r="794" spans="6:11" ht="15.75" customHeight="1">
      <c r="F794" s="29"/>
      <c r="G794" s="29"/>
      <c r="H794" s="29"/>
      <c r="I794" s="29"/>
      <c r="J794" s="29"/>
      <c r="K794" s="29"/>
    </row>
    <row r="795" spans="6:11" ht="15.75" customHeight="1">
      <c r="F795" s="29"/>
      <c r="G795" s="29"/>
      <c r="H795" s="29"/>
      <c r="I795" s="29"/>
      <c r="J795" s="29"/>
      <c r="K795" s="29"/>
    </row>
    <row r="796" spans="6:11" ht="15.75" customHeight="1">
      <c r="F796" s="29"/>
      <c r="G796" s="29"/>
      <c r="H796" s="29"/>
      <c r="I796" s="29"/>
      <c r="J796" s="29"/>
      <c r="K796" s="29"/>
    </row>
    <row r="797" spans="6:11" ht="15.75" customHeight="1">
      <c r="F797" s="29"/>
      <c r="G797" s="29"/>
      <c r="H797" s="29"/>
      <c r="I797" s="29"/>
      <c r="J797" s="29"/>
      <c r="K797" s="29"/>
    </row>
    <row r="798" spans="6:11" ht="15.75" customHeight="1">
      <c r="F798" s="29"/>
      <c r="G798" s="29"/>
      <c r="H798" s="29"/>
      <c r="I798" s="29"/>
      <c r="J798" s="29"/>
      <c r="K798" s="29"/>
    </row>
    <row r="799" spans="6:11" ht="15.75" customHeight="1">
      <c r="F799" s="29"/>
      <c r="G799" s="29"/>
      <c r="H799" s="29"/>
      <c r="I799" s="29"/>
      <c r="J799" s="29"/>
      <c r="K799" s="29"/>
    </row>
    <row r="800" spans="6:11" ht="15.75" customHeight="1">
      <c r="F800" s="29"/>
      <c r="G800" s="29"/>
      <c r="H800" s="29"/>
      <c r="I800" s="29"/>
      <c r="J800" s="29"/>
      <c r="K800" s="29"/>
    </row>
    <row r="801" spans="6:11" ht="15.75" customHeight="1">
      <c r="F801" s="29"/>
      <c r="G801" s="29"/>
      <c r="H801" s="29"/>
      <c r="I801" s="29"/>
      <c r="J801" s="29"/>
      <c r="K801" s="29"/>
    </row>
    <row r="802" spans="6:11" ht="15.75" customHeight="1">
      <c r="F802" s="29"/>
      <c r="G802" s="29"/>
      <c r="H802" s="29"/>
      <c r="I802" s="29"/>
      <c r="J802" s="29"/>
      <c r="K802" s="29"/>
    </row>
    <row r="803" spans="6:11" ht="15.75" customHeight="1">
      <c r="F803" s="29"/>
      <c r="G803" s="29"/>
      <c r="H803" s="29"/>
      <c r="I803" s="29"/>
      <c r="J803" s="29"/>
      <c r="K803" s="29"/>
    </row>
    <row r="804" spans="6:11" ht="15.75" customHeight="1">
      <c r="F804" s="29"/>
      <c r="G804" s="29"/>
      <c r="H804" s="29"/>
      <c r="I804" s="29"/>
      <c r="J804" s="29"/>
      <c r="K804" s="29"/>
    </row>
    <row r="805" spans="6:11" ht="15.75" customHeight="1">
      <c r="F805" s="29"/>
      <c r="G805" s="29"/>
      <c r="H805" s="29"/>
      <c r="I805" s="29"/>
      <c r="J805" s="29"/>
      <c r="K805" s="29"/>
    </row>
    <row r="806" spans="6:11" ht="15.75" customHeight="1">
      <c r="F806" s="29"/>
      <c r="G806" s="29"/>
      <c r="H806" s="29"/>
      <c r="I806" s="29"/>
      <c r="J806" s="29"/>
      <c r="K806" s="29"/>
    </row>
    <row r="807" spans="6:11" ht="15.75" customHeight="1">
      <c r="F807" s="29"/>
      <c r="G807" s="29"/>
      <c r="H807" s="29"/>
      <c r="I807" s="29"/>
      <c r="J807" s="29"/>
      <c r="K807" s="29"/>
    </row>
    <row r="808" spans="6:11" ht="15.75" customHeight="1">
      <c r="F808" s="29"/>
      <c r="G808" s="29"/>
      <c r="H808" s="29"/>
      <c r="I808" s="29"/>
      <c r="J808" s="29"/>
      <c r="K808" s="29"/>
    </row>
    <row r="809" spans="6:11" ht="15.75" customHeight="1">
      <c r="F809" s="29"/>
      <c r="G809" s="29"/>
      <c r="H809" s="29"/>
      <c r="I809" s="29"/>
      <c r="J809" s="29"/>
      <c r="K809" s="29"/>
    </row>
    <row r="810" spans="6:11" ht="15.75" customHeight="1">
      <c r="F810" s="29"/>
      <c r="G810" s="29"/>
      <c r="H810" s="29"/>
      <c r="I810" s="29"/>
      <c r="J810" s="29"/>
      <c r="K810" s="29"/>
    </row>
    <row r="811" spans="6:11" ht="15.75" customHeight="1">
      <c r="F811" s="29"/>
      <c r="G811" s="29"/>
      <c r="H811" s="29"/>
      <c r="I811" s="29"/>
      <c r="J811" s="29"/>
      <c r="K811" s="29"/>
    </row>
    <row r="812" spans="6:11" ht="15.75" customHeight="1">
      <c r="F812" s="29"/>
      <c r="G812" s="29"/>
      <c r="H812" s="29"/>
      <c r="I812" s="29"/>
      <c r="J812" s="29"/>
      <c r="K812" s="29"/>
    </row>
    <row r="813" spans="6:11" ht="15.75" customHeight="1">
      <c r="F813" s="29"/>
      <c r="G813" s="29"/>
      <c r="H813" s="29"/>
      <c r="I813" s="29"/>
      <c r="J813" s="29"/>
      <c r="K813" s="29"/>
    </row>
    <row r="814" spans="6:11" ht="15.75" customHeight="1">
      <c r="F814" s="29"/>
      <c r="G814" s="29"/>
      <c r="H814" s="29"/>
      <c r="I814" s="29"/>
      <c r="J814" s="29"/>
      <c r="K814" s="29"/>
    </row>
    <row r="815" spans="6:11" ht="15.75" customHeight="1">
      <c r="F815" s="29"/>
      <c r="G815" s="29"/>
      <c r="H815" s="29"/>
      <c r="I815" s="29"/>
      <c r="J815" s="29"/>
      <c r="K815" s="29"/>
    </row>
    <row r="816" spans="6:11" ht="15.75" customHeight="1">
      <c r="F816" s="29"/>
      <c r="G816" s="29"/>
      <c r="H816" s="29"/>
      <c r="I816" s="29"/>
      <c r="J816" s="29"/>
      <c r="K816" s="29"/>
    </row>
    <row r="817" spans="6:11" ht="15.75" customHeight="1">
      <c r="F817" s="29"/>
      <c r="G817" s="29"/>
      <c r="H817" s="29"/>
      <c r="I817" s="29"/>
      <c r="J817" s="29"/>
      <c r="K817" s="29"/>
    </row>
    <row r="818" spans="6:11" ht="15.75" customHeight="1">
      <c r="F818" s="29"/>
      <c r="G818" s="29"/>
      <c r="H818" s="29"/>
      <c r="I818" s="29"/>
      <c r="J818" s="29"/>
      <c r="K818" s="29"/>
    </row>
    <row r="819" spans="6:11" ht="15.75" customHeight="1">
      <c r="F819" s="29"/>
      <c r="G819" s="29"/>
      <c r="H819" s="29"/>
      <c r="I819" s="29"/>
      <c r="J819" s="29"/>
      <c r="K819" s="29"/>
    </row>
    <row r="820" spans="6:11" ht="15.75" customHeight="1">
      <c r="F820" s="29"/>
      <c r="G820" s="29"/>
      <c r="H820" s="29"/>
      <c r="I820" s="29"/>
      <c r="J820" s="29"/>
      <c r="K820" s="29"/>
    </row>
    <row r="821" spans="6:11" ht="15.75" customHeight="1">
      <c r="F821" s="29"/>
      <c r="G821" s="29"/>
      <c r="H821" s="29"/>
      <c r="I821" s="29"/>
      <c r="J821" s="29"/>
      <c r="K821" s="29"/>
    </row>
    <row r="822" spans="6:11" ht="15.75" customHeight="1">
      <c r="F822" s="29"/>
      <c r="G822" s="29"/>
      <c r="H822" s="29"/>
      <c r="I822" s="29"/>
      <c r="J822" s="29"/>
      <c r="K822" s="29"/>
    </row>
    <row r="823" spans="6:11" ht="15.75" customHeight="1">
      <c r="F823" s="29"/>
      <c r="G823" s="29"/>
      <c r="H823" s="29"/>
      <c r="I823" s="29"/>
      <c r="J823" s="29"/>
      <c r="K823" s="29"/>
    </row>
    <row r="824" spans="6:11" ht="15.75" customHeight="1">
      <c r="F824" s="29"/>
      <c r="G824" s="29"/>
      <c r="H824" s="29"/>
      <c r="I824" s="29"/>
      <c r="J824" s="29"/>
      <c r="K824" s="29"/>
    </row>
    <row r="825" spans="6:11" ht="15.75" customHeight="1">
      <c r="F825" s="29"/>
      <c r="G825" s="29"/>
      <c r="H825" s="29"/>
      <c r="I825" s="29"/>
      <c r="J825" s="29"/>
      <c r="K825" s="29"/>
    </row>
    <row r="826" spans="6:11" ht="15.75" customHeight="1">
      <c r="F826" s="29"/>
      <c r="G826" s="29"/>
      <c r="H826" s="29"/>
      <c r="I826" s="29"/>
      <c r="J826" s="29"/>
      <c r="K826" s="29"/>
    </row>
    <row r="827" spans="6:11" ht="15.75" customHeight="1">
      <c r="F827" s="29"/>
      <c r="G827" s="29"/>
      <c r="H827" s="29"/>
      <c r="I827" s="29"/>
      <c r="J827" s="29"/>
      <c r="K827" s="29"/>
    </row>
    <row r="828" spans="6:11" ht="15.75" customHeight="1">
      <c r="F828" s="29"/>
      <c r="G828" s="29"/>
      <c r="H828" s="29"/>
      <c r="I828" s="29"/>
      <c r="J828" s="29"/>
      <c r="K828" s="29"/>
    </row>
    <row r="829" spans="6:11" ht="15.75" customHeight="1">
      <c r="F829" s="29"/>
      <c r="G829" s="29"/>
      <c r="H829" s="29"/>
      <c r="I829" s="29"/>
      <c r="J829" s="29"/>
      <c r="K829" s="29"/>
    </row>
    <row r="830" spans="6:11" ht="15.75" customHeight="1">
      <c r="F830" s="29"/>
      <c r="G830" s="29"/>
      <c r="H830" s="29"/>
      <c r="I830" s="29"/>
      <c r="J830" s="29"/>
      <c r="K830" s="29"/>
    </row>
    <row r="831" spans="6:11" ht="15.75" customHeight="1">
      <c r="F831" s="29"/>
      <c r="G831" s="29"/>
      <c r="H831" s="29"/>
      <c r="I831" s="29"/>
      <c r="J831" s="29"/>
      <c r="K831" s="29"/>
    </row>
    <row r="832" spans="6:11" ht="15.75" customHeight="1">
      <c r="F832" s="29"/>
      <c r="G832" s="29"/>
      <c r="H832" s="29"/>
      <c r="I832" s="29"/>
      <c r="J832" s="29"/>
      <c r="K832" s="29"/>
    </row>
    <row r="833" spans="6:11" ht="15.75" customHeight="1">
      <c r="F833" s="29"/>
      <c r="G833" s="29"/>
      <c r="H833" s="29"/>
      <c r="I833" s="29"/>
      <c r="J833" s="29"/>
      <c r="K833" s="29"/>
    </row>
    <row r="834" spans="6:11" ht="15.75" customHeight="1">
      <c r="F834" s="29"/>
      <c r="G834" s="29"/>
      <c r="H834" s="29"/>
      <c r="I834" s="29"/>
      <c r="J834" s="29"/>
      <c r="K834" s="29"/>
    </row>
    <row r="835" spans="6:11" ht="15.75" customHeight="1">
      <c r="F835" s="29"/>
      <c r="G835" s="29"/>
      <c r="H835" s="29"/>
      <c r="I835" s="29"/>
      <c r="J835" s="29"/>
      <c r="K835" s="29"/>
    </row>
    <row r="836" spans="6:11" ht="15.75" customHeight="1">
      <c r="F836" s="29"/>
      <c r="G836" s="29"/>
      <c r="H836" s="29"/>
      <c r="I836" s="29"/>
      <c r="J836" s="29"/>
      <c r="K836" s="29"/>
    </row>
    <row r="837" spans="6:11" ht="15.75" customHeight="1">
      <c r="F837" s="29"/>
      <c r="G837" s="29"/>
      <c r="H837" s="29"/>
      <c r="I837" s="29"/>
      <c r="J837" s="29"/>
      <c r="K837" s="29"/>
    </row>
    <row r="838" spans="6:11" ht="15.75" customHeight="1">
      <c r="F838" s="29"/>
      <c r="G838" s="29"/>
      <c r="H838" s="29"/>
      <c r="I838" s="29"/>
      <c r="J838" s="29"/>
      <c r="K838" s="29"/>
    </row>
    <row r="839" spans="6:11" ht="15.75" customHeight="1">
      <c r="F839" s="29"/>
      <c r="G839" s="29"/>
      <c r="H839" s="29"/>
      <c r="I839" s="29"/>
      <c r="J839" s="29"/>
      <c r="K839" s="29"/>
    </row>
    <row r="840" spans="6:11" ht="15.75" customHeight="1">
      <c r="F840" s="29"/>
      <c r="G840" s="29"/>
      <c r="H840" s="29"/>
      <c r="I840" s="29"/>
      <c r="J840" s="29"/>
      <c r="K840" s="29"/>
    </row>
    <row r="841" spans="6:11" ht="15.75" customHeight="1">
      <c r="F841" s="29"/>
      <c r="G841" s="29"/>
      <c r="H841" s="29"/>
      <c r="I841" s="29"/>
      <c r="J841" s="29"/>
      <c r="K841" s="29"/>
    </row>
    <row r="842" spans="6:11" ht="15.75" customHeight="1">
      <c r="F842" s="29"/>
      <c r="G842" s="29"/>
      <c r="H842" s="29"/>
      <c r="I842" s="29"/>
      <c r="J842" s="29"/>
      <c r="K842" s="29"/>
    </row>
    <row r="843" spans="6:11" ht="15.75" customHeight="1">
      <c r="F843" s="29"/>
      <c r="G843" s="29"/>
      <c r="H843" s="29"/>
      <c r="I843" s="29"/>
      <c r="J843" s="29"/>
      <c r="K843" s="29"/>
    </row>
    <row r="844" spans="6:11" ht="15.75" customHeight="1">
      <c r="F844" s="29"/>
      <c r="G844" s="29"/>
      <c r="H844" s="29"/>
      <c r="I844" s="29"/>
      <c r="J844" s="29"/>
      <c r="K844" s="29"/>
    </row>
    <row r="845" spans="6:11" ht="15.75" customHeight="1">
      <c r="F845" s="29"/>
      <c r="G845" s="29"/>
      <c r="H845" s="29"/>
      <c r="I845" s="29"/>
      <c r="J845" s="29"/>
      <c r="K845" s="29"/>
    </row>
    <row r="846" spans="6:11" ht="15.75" customHeight="1">
      <c r="F846" s="29"/>
      <c r="G846" s="29"/>
      <c r="H846" s="29"/>
      <c r="I846" s="29"/>
      <c r="J846" s="29"/>
      <c r="K846" s="29"/>
    </row>
    <row r="847" spans="6:11" ht="15.75" customHeight="1">
      <c r="F847" s="29"/>
      <c r="G847" s="29"/>
      <c r="H847" s="29"/>
      <c r="I847" s="29"/>
      <c r="J847" s="29"/>
      <c r="K847" s="29"/>
    </row>
    <row r="848" spans="6:11" ht="15.75" customHeight="1">
      <c r="F848" s="29"/>
      <c r="G848" s="29"/>
      <c r="H848" s="29"/>
      <c r="I848" s="29"/>
      <c r="J848" s="29"/>
      <c r="K848" s="29"/>
    </row>
    <row r="849" spans="6:11" ht="15.75" customHeight="1">
      <c r="F849" s="29"/>
      <c r="G849" s="29"/>
      <c r="H849" s="29"/>
      <c r="I849" s="29"/>
      <c r="J849" s="29"/>
      <c r="K849" s="29"/>
    </row>
    <row r="850" spans="6:11" ht="15.75" customHeight="1">
      <c r="F850" s="29"/>
      <c r="G850" s="29"/>
      <c r="H850" s="29"/>
      <c r="I850" s="29"/>
      <c r="J850" s="29"/>
      <c r="K850" s="29"/>
    </row>
    <row r="851" spans="6:11" ht="15.75" customHeight="1">
      <c r="F851" s="29"/>
      <c r="G851" s="29"/>
      <c r="H851" s="29"/>
      <c r="I851" s="29"/>
      <c r="J851" s="29"/>
      <c r="K851" s="29"/>
    </row>
    <row r="852" spans="6:11" ht="15.75" customHeight="1">
      <c r="F852" s="29"/>
      <c r="G852" s="29"/>
      <c r="H852" s="29"/>
      <c r="I852" s="29"/>
      <c r="J852" s="29"/>
      <c r="K852" s="29"/>
    </row>
    <row r="853" spans="6:11" ht="15.75" customHeight="1">
      <c r="F853" s="29"/>
      <c r="G853" s="29"/>
      <c r="H853" s="29"/>
      <c r="I853" s="29"/>
      <c r="J853" s="29"/>
      <c r="K853" s="29"/>
    </row>
    <row r="854" spans="6:11" ht="15.75" customHeight="1">
      <c r="F854" s="29"/>
      <c r="G854" s="29"/>
      <c r="H854" s="29"/>
      <c r="I854" s="29"/>
      <c r="J854" s="29"/>
      <c r="K854" s="29"/>
    </row>
    <row r="855" spans="6:11" ht="15.75" customHeight="1">
      <c r="F855" s="29"/>
      <c r="G855" s="29"/>
      <c r="H855" s="29"/>
      <c r="I855" s="29"/>
      <c r="J855" s="29"/>
      <c r="K855" s="29"/>
    </row>
    <row r="856" spans="6:11" ht="15.75" customHeight="1">
      <c r="F856" s="29"/>
      <c r="G856" s="29"/>
      <c r="H856" s="29"/>
      <c r="I856" s="29"/>
      <c r="J856" s="29"/>
      <c r="K856" s="29"/>
    </row>
    <row r="857" spans="6:11" ht="15.75" customHeight="1">
      <c r="F857" s="29"/>
      <c r="G857" s="29"/>
      <c r="H857" s="29"/>
      <c r="I857" s="29"/>
      <c r="J857" s="29"/>
      <c r="K857" s="29"/>
    </row>
    <row r="858" spans="6:11" ht="15.75" customHeight="1">
      <c r="F858" s="29"/>
      <c r="G858" s="29"/>
      <c r="H858" s="29"/>
      <c r="I858" s="29"/>
      <c r="J858" s="29"/>
      <c r="K858" s="29"/>
    </row>
    <row r="859" spans="6:11" ht="15.75" customHeight="1">
      <c r="F859" s="29"/>
      <c r="G859" s="29"/>
      <c r="H859" s="29"/>
      <c r="I859" s="29"/>
      <c r="J859" s="29"/>
      <c r="K859" s="29"/>
    </row>
    <row r="860" spans="6:11" ht="15.75" customHeight="1">
      <c r="F860" s="29"/>
      <c r="G860" s="29"/>
      <c r="H860" s="29"/>
      <c r="I860" s="29"/>
      <c r="J860" s="29"/>
      <c r="K860" s="29"/>
    </row>
    <row r="861" spans="6:11" ht="15.75" customHeight="1">
      <c r="F861" s="29"/>
      <c r="G861" s="29"/>
      <c r="H861" s="29"/>
      <c r="I861" s="29"/>
      <c r="J861" s="29"/>
      <c r="K861" s="29"/>
    </row>
    <row r="862" spans="6:11" ht="15.75" customHeight="1">
      <c r="F862" s="29"/>
      <c r="G862" s="29"/>
      <c r="H862" s="29"/>
      <c r="I862" s="29"/>
      <c r="J862" s="29"/>
      <c r="K862" s="29"/>
    </row>
    <row r="863" spans="6:11" ht="15.75" customHeight="1">
      <c r="F863" s="29"/>
      <c r="G863" s="29"/>
      <c r="H863" s="29"/>
      <c r="I863" s="29"/>
      <c r="J863" s="29"/>
      <c r="K863" s="29"/>
    </row>
    <row r="864" spans="6:11" ht="15.75" customHeight="1">
      <c r="F864" s="29"/>
      <c r="G864" s="29"/>
      <c r="H864" s="29"/>
      <c r="I864" s="29"/>
      <c r="J864" s="29"/>
      <c r="K864" s="29"/>
    </row>
    <row r="865" spans="6:11" ht="15.75" customHeight="1">
      <c r="F865" s="29"/>
      <c r="G865" s="29"/>
      <c r="H865" s="29"/>
      <c r="I865" s="29"/>
      <c r="J865" s="29"/>
      <c r="K865" s="29"/>
    </row>
    <row r="866" spans="6:11" ht="15.75" customHeight="1">
      <c r="F866" s="29"/>
      <c r="G866" s="29"/>
      <c r="H866" s="29"/>
      <c r="I866" s="29"/>
      <c r="J866" s="29"/>
      <c r="K866" s="29"/>
    </row>
    <row r="867" spans="6:11" ht="15.75" customHeight="1">
      <c r="F867" s="29"/>
      <c r="G867" s="29"/>
      <c r="H867" s="29"/>
      <c r="I867" s="29"/>
      <c r="J867" s="29"/>
      <c r="K867" s="29"/>
    </row>
    <row r="868" spans="6:11" ht="15.75" customHeight="1">
      <c r="F868" s="29"/>
      <c r="G868" s="29"/>
      <c r="H868" s="29"/>
      <c r="I868" s="29"/>
      <c r="J868" s="29"/>
      <c r="K868" s="29"/>
    </row>
    <row r="869" spans="6:11" ht="15.75" customHeight="1">
      <c r="F869" s="29"/>
      <c r="G869" s="29"/>
      <c r="H869" s="29"/>
      <c r="I869" s="29"/>
      <c r="J869" s="29"/>
      <c r="K869" s="29"/>
    </row>
    <row r="870" spans="6:11" ht="15.75" customHeight="1">
      <c r="F870" s="29"/>
      <c r="G870" s="29"/>
      <c r="H870" s="29"/>
      <c r="I870" s="29"/>
      <c r="J870" s="29"/>
      <c r="K870" s="29"/>
    </row>
    <row r="871" spans="6:11" ht="15.75" customHeight="1">
      <c r="F871" s="29"/>
      <c r="G871" s="29"/>
      <c r="H871" s="29"/>
      <c r="I871" s="29"/>
      <c r="J871" s="29"/>
      <c r="K871" s="29"/>
    </row>
    <row r="872" spans="6:11" ht="15.75" customHeight="1">
      <c r="F872" s="29"/>
      <c r="G872" s="29"/>
      <c r="H872" s="29"/>
      <c r="I872" s="29"/>
      <c r="J872" s="29"/>
      <c r="K872" s="29"/>
    </row>
    <row r="873" spans="6:11" ht="15.75" customHeight="1">
      <c r="F873" s="29"/>
      <c r="G873" s="29"/>
      <c r="H873" s="29"/>
      <c r="I873" s="29"/>
      <c r="J873" s="29"/>
      <c r="K873" s="29"/>
    </row>
    <row r="874" spans="6:11" ht="15.75" customHeight="1">
      <c r="F874" s="29"/>
      <c r="G874" s="29"/>
      <c r="H874" s="29"/>
      <c r="I874" s="29"/>
      <c r="J874" s="29"/>
      <c r="K874" s="29"/>
    </row>
    <row r="875" spans="6:11" ht="15.75" customHeight="1">
      <c r="F875" s="29"/>
      <c r="G875" s="29"/>
      <c r="H875" s="29"/>
      <c r="I875" s="29"/>
      <c r="J875" s="29"/>
      <c r="K875" s="29"/>
    </row>
    <row r="876" spans="6:11" ht="15.75" customHeight="1">
      <c r="F876" s="29"/>
      <c r="G876" s="29"/>
      <c r="H876" s="29"/>
      <c r="I876" s="29"/>
      <c r="J876" s="29"/>
      <c r="K876" s="29"/>
    </row>
    <row r="877" spans="6:11" ht="15.75" customHeight="1">
      <c r="F877" s="29"/>
      <c r="G877" s="29"/>
      <c r="H877" s="29"/>
      <c r="I877" s="29"/>
      <c r="J877" s="29"/>
      <c r="K877" s="29"/>
    </row>
    <row r="878" spans="6:11" ht="15.75" customHeight="1">
      <c r="F878" s="29"/>
      <c r="G878" s="29"/>
      <c r="H878" s="29"/>
      <c r="I878" s="29"/>
      <c r="J878" s="29"/>
      <c r="K878" s="29"/>
    </row>
    <row r="879" spans="6:11" ht="15.75" customHeight="1">
      <c r="F879" s="29"/>
      <c r="G879" s="29"/>
      <c r="H879" s="29"/>
      <c r="I879" s="29"/>
      <c r="J879" s="29"/>
      <c r="K879" s="29"/>
    </row>
    <row r="880" spans="6:11" ht="15.75" customHeight="1">
      <c r="F880" s="29"/>
      <c r="G880" s="29"/>
      <c r="H880" s="29"/>
      <c r="I880" s="29"/>
      <c r="J880" s="29"/>
      <c r="K880" s="29"/>
    </row>
    <row r="881" spans="6:11" ht="15.75" customHeight="1">
      <c r="F881" s="29"/>
      <c r="G881" s="29"/>
      <c r="H881" s="29"/>
      <c r="I881" s="29"/>
      <c r="J881" s="29"/>
      <c r="K881" s="29"/>
    </row>
    <row r="882" spans="6:11" ht="15.75" customHeight="1">
      <c r="F882" s="29"/>
      <c r="G882" s="29"/>
      <c r="H882" s="29"/>
      <c r="I882" s="29"/>
      <c r="J882" s="29"/>
      <c r="K882" s="29"/>
    </row>
    <row r="883" spans="6:11" ht="15.75" customHeight="1">
      <c r="F883" s="29"/>
      <c r="G883" s="29"/>
      <c r="H883" s="29"/>
      <c r="I883" s="29"/>
      <c r="J883" s="29"/>
      <c r="K883" s="29"/>
    </row>
    <row r="884" spans="6:11" ht="15.75" customHeight="1">
      <c r="F884" s="29"/>
      <c r="G884" s="29"/>
      <c r="H884" s="29"/>
      <c r="I884" s="29"/>
      <c r="J884" s="29"/>
      <c r="K884" s="29"/>
    </row>
    <row r="885" spans="6:11" ht="15.75" customHeight="1">
      <c r="F885" s="29"/>
      <c r="G885" s="29"/>
      <c r="H885" s="29"/>
      <c r="I885" s="29"/>
      <c r="J885" s="29"/>
      <c r="K885" s="29"/>
    </row>
    <row r="886" spans="6:11" ht="15.75" customHeight="1">
      <c r="F886" s="29"/>
      <c r="G886" s="29"/>
      <c r="H886" s="29"/>
      <c r="I886" s="29"/>
      <c r="J886" s="29"/>
      <c r="K886" s="29"/>
    </row>
    <row r="887" spans="6:11" ht="15.75" customHeight="1">
      <c r="F887" s="29"/>
      <c r="G887" s="29"/>
      <c r="H887" s="29"/>
      <c r="I887" s="29"/>
      <c r="J887" s="29"/>
      <c r="K887" s="29"/>
    </row>
    <row r="888" spans="6:11" ht="15.75" customHeight="1">
      <c r="F888" s="29"/>
      <c r="G888" s="29"/>
      <c r="H888" s="29"/>
      <c r="I888" s="29"/>
      <c r="J888" s="29"/>
      <c r="K888" s="29"/>
    </row>
    <row r="889" spans="6:11" ht="15.75" customHeight="1">
      <c r="F889" s="29"/>
      <c r="G889" s="29"/>
      <c r="H889" s="29"/>
      <c r="I889" s="29"/>
      <c r="J889" s="29"/>
      <c r="K889" s="29"/>
    </row>
    <row r="890" spans="6:11" ht="15.75" customHeight="1">
      <c r="F890" s="29"/>
      <c r="G890" s="29"/>
      <c r="H890" s="29"/>
      <c r="I890" s="29"/>
      <c r="J890" s="29"/>
      <c r="K890" s="29"/>
    </row>
    <row r="891" spans="6:11" ht="15.75" customHeight="1">
      <c r="F891" s="29"/>
      <c r="G891" s="29"/>
      <c r="H891" s="29"/>
      <c r="I891" s="29"/>
      <c r="J891" s="29"/>
      <c r="K891" s="29"/>
    </row>
    <row r="892" spans="6:11" ht="15.75" customHeight="1">
      <c r="F892" s="29"/>
      <c r="G892" s="29"/>
      <c r="H892" s="29"/>
      <c r="I892" s="29"/>
      <c r="J892" s="29"/>
      <c r="K892" s="29"/>
    </row>
    <row r="893" spans="6:11" ht="15.75" customHeight="1">
      <c r="F893" s="29"/>
      <c r="G893" s="29"/>
      <c r="H893" s="29"/>
      <c r="I893" s="29"/>
      <c r="J893" s="29"/>
      <c r="K893" s="29"/>
    </row>
    <row r="894" spans="6:11" ht="15.75" customHeight="1">
      <c r="F894" s="29"/>
      <c r="G894" s="29"/>
      <c r="H894" s="29"/>
      <c r="I894" s="29"/>
      <c r="J894" s="29"/>
      <c r="K894" s="29"/>
    </row>
    <row r="895" spans="6:11" ht="15.75" customHeight="1">
      <c r="F895" s="29"/>
      <c r="G895" s="29"/>
      <c r="H895" s="29"/>
      <c r="I895" s="29"/>
      <c r="J895" s="29"/>
      <c r="K895" s="29"/>
    </row>
    <row r="896" spans="6:11" ht="15.75" customHeight="1">
      <c r="F896" s="29"/>
      <c r="G896" s="29"/>
      <c r="H896" s="29"/>
      <c r="I896" s="29"/>
      <c r="J896" s="29"/>
      <c r="K896" s="29"/>
    </row>
    <row r="897" spans="6:11" ht="15.75" customHeight="1">
      <c r="F897" s="29"/>
      <c r="G897" s="29"/>
      <c r="H897" s="29"/>
      <c r="I897" s="29"/>
      <c r="J897" s="29"/>
      <c r="K897" s="29"/>
    </row>
    <row r="898" spans="6:11" ht="15.75" customHeight="1">
      <c r="F898" s="29"/>
      <c r="G898" s="29"/>
      <c r="H898" s="29"/>
      <c r="I898" s="29"/>
      <c r="J898" s="29"/>
      <c r="K898" s="29"/>
    </row>
    <row r="899" spans="6:11" ht="15.75" customHeight="1">
      <c r="F899" s="29"/>
      <c r="G899" s="29"/>
      <c r="H899" s="29"/>
      <c r="I899" s="29"/>
      <c r="J899" s="29"/>
      <c r="K899" s="29"/>
    </row>
    <row r="900" spans="6:11" ht="15.75" customHeight="1">
      <c r="F900" s="29"/>
      <c r="G900" s="29"/>
      <c r="H900" s="29"/>
      <c r="I900" s="29"/>
      <c r="J900" s="29"/>
      <c r="K900" s="29"/>
    </row>
    <row r="901" spans="6:11" ht="15.75" customHeight="1">
      <c r="F901" s="29"/>
      <c r="G901" s="29"/>
      <c r="H901" s="29"/>
      <c r="I901" s="29"/>
      <c r="J901" s="29"/>
      <c r="K901" s="29"/>
    </row>
    <row r="902" spans="6:11" ht="15.75" customHeight="1">
      <c r="F902" s="29"/>
      <c r="G902" s="29"/>
      <c r="H902" s="29"/>
      <c r="I902" s="29"/>
      <c r="J902" s="29"/>
      <c r="K902" s="29"/>
    </row>
    <row r="903" spans="6:11" ht="15.75" customHeight="1">
      <c r="F903" s="29"/>
      <c r="G903" s="29"/>
      <c r="H903" s="29"/>
      <c r="I903" s="29"/>
      <c r="J903" s="29"/>
      <c r="K903" s="29"/>
    </row>
    <row r="904" spans="6:11" ht="15.75" customHeight="1">
      <c r="F904" s="29"/>
      <c r="G904" s="29"/>
      <c r="H904" s="29"/>
      <c r="I904" s="29"/>
      <c r="J904" s="29"/>
      <c r="K904" s="29"/>
    </row>
    <row r="905" spans="6:11" ht="15.75" customHeight="1">
      <c r="F905" s="29"/>
      <c r="G905" s="29"/>
      <c r="H905" s="29"/>
      <c r="I905" s="29"/>
      <c r="J905" s="29"/>
      <c r="K905" s="29"/>
    </row>
    <row r="906" spans="6:11" ht="15.75" customHeight="1">
      <c r="F906" s="29"/>
      <c r="G906" s="29"/>
      <c r="H906" s="29"/>
      <c r="I906" s="29"/>
      <c r="J906" s="29"/>
      <c r="K906" s="29"/>
    </row>
    <row r="907" spans="6:11" ht="15.75" customHeight="1">
      <c r="F907" s="29"/>
      <c r="G907" s="29"/>
      <c r="H907" s="29"/>
      <c r="I907" s="29"/>
      <c r="J907" s="29"/>
      <c r="K907" s="29"/>
    </row>
    <row r="908" spans="6:11" ht="15.75" customHeight="1">
      <c r="F908" s="29"/>
      <c r="G908" s="29"/>
      <c r="H908" s="29"/>
      <c r="I908" s="29"/>
      <c r="J908" s="29"/>
      <c r="K908" s="29"/>
    </row>
    <row r="909" spans="6:11" ht="15.75" customHeight="1">
      <c r="F909" s="29"/>
      <c r="G909" s="29"/>
      <c r="H909" s="29"/>
      <c r="I909" s="29"/>
      <c r="J909" s="29"/>
      <c r="K909" s="29"/>
    </row>
    <row r="910" spans="6:11" ht="15.75" customHeight="1">
      <c r="F910" s="29"/>
      <c r="G910" s="29"/>
      <c r="H910" s="29"/>
      <c r="I910" s="29"/>
      <c r="J910" s="29"/>
      <c r="K910" s="29"/>
    </row>
    <row r="911" spans="6:11" ht="15.75" customHeight="1">
      <c r="F911" s="29"/>
      <c r="G911" s="29"/>
      <c r="H911" s="29"/>
      <c r="I911" s="29"/>
      <c r="J911" s="29"/>
      <c r="K911" s="29"/>
    </row>
    <row r="912" spans="6:11" ht="15.75" customHeight="1">
      <c r="F912" s="29"/>
      <c r="G912" s="29"/>
      <c r="H912" s="29"/>
      <c r="I912" s="29"/>
      <c r="J912" s="29"/>
      <c r="K912" s="29"/>
    </row>
    <row r="913" spans="6:11" ht="15.75" customHeight="1">
      <c r="F913" s="29"/>
      <c r="G913" s="29"/>
      <c r="H913" s="29"/>
      <c r="I913" s="29"/>
      <c r="J913" s="29"/>
      <c r="K913" s="29"/>
    </row>
    <row r="914" spans="6:11" ht="15.75" customHeight="1">
      <c r="F914" s="29"/>
      <c r="G914" s="29"/>
      <c r="H914" s="29"/>
      <c r="I914" s="29"/>
      <c r="J914" s="29"/>
      <c r="K914" s="29"/>
    </row>
    <row r="915" spans="6:11" ht="15.75" customHeight="1">
      <c r="F915" s="29"/>
      <c r="G915" s="29"/>
      <c r="H915" s="29"/>
      <c r="I915" s="29"/>
      <c r="J915" s="29"/>
      <c r="K915" s="29"/>
    </row>
    <row r="916" spans="6:11" ht="15.75" customHeight="1">
      <c r="F916" s="29"/>
      <c r="G916" s="29"/>
      <c r="H916" s="29"/>
      <c r="I916" s="29"/>
      <c r="J916" s="29"/>
      <c r="K916" s="29"/>
    </row>
    <row r="917" spans="6:11" ht="15.75" customHeight="1">
      <c r="F917" s="29"/>
      <c r="G917" s="29"/>
      <c r="H917" s="29"/>
      <c r="I917" s="29"/>
      <c r="J917" s="29"/>
      <c r="K917" s="29"/>
    </row>
    <row r="918" spans="6:11" ht="15.75" customHeight="1">
      <c r="F918" s="29"/>
      <c r="G918" s="29"/>
      <c r="H918" s="29"/>
      <c r="I918" s="29"/>
      <c r="J918" s="29"/>
      <c r="K918" s="29"/>
    </row>
    <row r="919" spans="6:11" ht="15.75" customHeight="1">
      <c r="F919" s="29"/>
      <c r="G919" s="29"/>
      <c r="H919" s="29"/>
      <c r="I919" s="29"/>
      <c r="J919" s="29"/>
      <c r="K919" s="29"/>
    </row>
    <row r="920" spans="6:11" ht="15.75" customHeight="1">
      <c r="F920" s="29"/>
      <c r="G920" s="29"/>
      <c r="H920" s="29"/>
      <c r="I920" s="29"/>
      <c r="J920" s="29"/>
      <c r="K920" s="29"/>
    </row>
    <row r="921" spans="6:11" ht="15.75" customHeight="1">
      <c r="F921" s="29"/>
      <c r="G921" s="29"/>
      <c r="H921" s="29"/>
      <c r="I921" s="29"/>
      <c r="J921" s="29"/>
      <c r="K921" s="29"/>
    </row>
    <row r="922" spans="6:11" ht="15.75" customHeight="1">
      <c r="F922" s="29"/>
      <c r="G922" s="29"/>
      <c r="H922" s="29"/>
      <c r="I922" s="29"/>
      <c r="J922" s="29"/>
      <c r="K922" s="29"/>
    </row>
    <row r="923" spans="6:11" ht="15.75" customHeight="1">
      <c r="F923" s="29"/>
      <c r="G923" s="29"/>
      <c r="H923" s="29"/>
      <c r="I923" s="29"/>
      <c r="J923" s="29"/>
      <c r="K923" s="29"/>
    </row>
    <row r="924" spans="6:11" ht="15.75" customHeight="1">
      <c r="F924" s="29"/>
      <c r="G924" s="29"/>
      <c r="H924" s="29"/>
      <c r="I924" s="29"/>
      <c r="J924" s="29"/>
      <c r="K924" s="29"/>
    </row>
    <row r="925" spans="6:11" ht="15.75" customHeight="1">
      <c r="F925" s="29"/>
      <c r="G925" s="29"/>
      <c r="H925" s="29"/>
      <c r="I925" s="29"/>
      <c r="J925" s="29"/>
      <c r="K925" s="29"/>
    </row>
    <row r="926" spans="6:11" ht="15.75" customHeight="1">
      <c r="F926" s="29"/>
      <c r="G926" s="29"/>
      <c r="H926" s="29"/>
      <c r="I926" s="29"/>
      <c r="J926" s="29"/>
      <c r="K926" s="29"/>
    </row>
    <row r="927" spans="6:11" ht="15.75" customHeight="1">
      <c r="F927" s="29"/>
      <c r="G927" s="29"/>
      <c r="H927" s="29"/>
      <c r="I927" s="29"/>
      <c r="J927" s="29"/>
      <c r="K927" s="29"/>
    </row>
    <row r="928" spans="6:11" ht="15.75" customHeight="1">
      <c r="F928" s="29"/>
      <c r="G928" s="29"/>
      <c r="H928" s="29"/>
      <c r="I928" s="29"/>
      <c r="J928" s="29"/>
      <c r="K928" s="29"/>
    </row>
    <row r="929" spans="6:11" ht="15.75" customHeight="1">
      <c r="F929" s="29"/>
      <c r="G929" s="29"/>
      <c r="H929" s="29"/>
      <c r="I929" s="29"/>
      <c r="J929" s="29"/>
      <c r="K929" s="29"/>
    </row>
    <row r="930" spans="6:11" ht="15.75" customHeight="1">
      <c r="F930" s="29"/>
      <c r="G930" s="29"/>
      <c r="H930" s="29"/>
      <c r="I930" s="29"/>
      <c r="J930" s="29"/>
      <c r="K930" s="29"/>
    </row>
    <row r="931" spans="6:11" ht="15.75" customHeight="1">
      <c r="F931" s="29"/>
      <c r="G931" s="29"/>
      <c r="H931" s="29"/>
      <c r="I931" s="29"/>
      <c r="J931" s="29"/>
      <c r="K931" s="29"/>
    </row>
    <row r="932" spans="6:11" ht="15.75" customHeight="1">
      <c r="F932" s="29"/>
      <c r="G932" s="29"/>
      <c r="H932" s="29"/>
      <c r="I932" s="29"/>
      <c r="J932" s="29"/>
      <c r="K932" s="29"/>
    </row>
    <row r="933" spans="6:11" ht="15.75" customHeight="1">
      <c r="F933" s="29"/>
      <c r="G933" s="29"/>
      <c r="H933" s="29"/>
      <c r="I933" s="29"/>
      <c r="J933" s="29"/>
      <c r="K933" s="29"/>
    </row>
    <row r="934" spans="6:11" ht="15.75" customHeight="1">
      <c r="F934" s="29"/>
      <c r="G934" s="29"/>
      <c r="H934" s="29"/>
      <c r="I934" s="29"/>
      <c r="J934" s="29"/>
      <c r="K934" s="29"/>
    </row>
    <row r="935" spans="6:11" ht="15.75" customHeight="1">
      <c r="F935" s="29"/>
      <c r="G935" s="29"/>
      <c r="H935" s="29"/>
      <c r="I935" s="29"/>
      <c r="J935" s="29"/>
      <c r="K935" s="29"/>
    </row>
    <row r="936" spans="6:11" ht="15.75" customHeight="1">
      <c r="F936" s="29"/>
      <c r="G936" s="29"/>
      <c r="H936" s="29"/>
      <c r="I936" s="29"/>
      <c r="J936" s="29"/>
      <c r="K936" s="29"/>
    </row>
    <row r="937" spans="6:11" ht="15.75" customHeight="1">
      <c r="F937" s="29"/>
      <c r="G937" s="29"/>
      <c r="H937" s="29"/>
      <c r="I937" s="29"/>
      <c r="J937" s="29"/>
      <c r="K937" s="29"/>
    </row>
    <row r="938" spans="6:11" ht="15.75" customHeight="1">
      <c r="F938" s="29"/>
      <c r="G938" s="29"/>
      <c r="H938" s="29"/>
      <c r="I938" s="29"/>
      <c r="J938" s="29"/>
      <c r="K938" s="29"/>
    </row>
    <row r="939" spans="6:11" ht="15.75" customHeight="1">
      <c r="F939" s="29"/>
      <c r="G939" s="29"/>
      <c r="H939" s="29"/>
      <c r="I939" s="29"/>
      <c r="J939" s="29"/>
      <c r="K939" s="29"/>
    </row>
    <row r="940" spans="6:11" ht="15.75" customHeight="1">
      <c r="F940" s="29"/>
      <c r="G940" s="29"/>
      <c r="H940" s="29"/>
      <c r="I940" s="29"/>
      <c r="J940" s="29"/>
      <c r="K940" s="29"/>
    </row>
    <row r="941" spans="6:11" ht="15.75" customHeight="1">
      <c r="F941" s="29"/>
      <c r="G941" s="29"/>
      <c r="H941" s="29"/>
      <c r="I941" s="29"/>
      <c r="J941" s="29"/>
      <c r="K941" s="29"/>
    </row>
    <row r="942" spans="6:11" ht="15.75" customHeight="1">
      <c r="F942" s="29"/>
      <c r="G942" s="29"/>
      <c r="H942" s="29"/>
      <c r="I942" s="29"/>
      <c r="J942" s="29"/>
      <c r="K942" s="29"/>
    </row>
    <row r="943" spans="6:11" ht="15.75" customHeight="1">
      <c r="F943" s="29"/>
      <c r="G943" s="29"/>
      <c r="H943" s="29"/>
      <c r="I943" s="29"/>
      <c r="J943" s="29"/>
      <c r="K943" s="29"/>
    </row>
    <row r="944" spans="6:11" ht="15.75" customHeight="1">
      <c r="F944" s="29"/>
      <c r="G944" s="29"/>
      <c r="H944" s="29"/>
      <c r="I944" s="29"/>
      <c r="J944" s="29"/>
      <c r="K944" s="29"/>
    </row>
    <row r="945" spans="6:11" ht="15.75" customHeight="1">
      <c r="F945" s="29"/>
      <c r="G945" s="29"/>
      <c r="H945" s="29"/>
      <c r="I945" s="29"/>
      <c r="J945" s="29"/>
      <c r="K945" s="29"/>
    </row>
    <row r="946" spans="6:11" ht="15.75" customHeight="1">
      <c r="F946" s="29"/>
      <c r="G946" s="29"/>
      <c r="H946" s="29"/>
      <c r="I946" s="29"/>
      <c r="J946" s="29"/>
      <c r="K946" s="29"/>
    </row>
    <row r="947" spans="6:11" ht="15.75" customHeight="1">
      <c r="F947" s="29"/>
      <c r="G947" s="29"/>
      <c r="H947" s="29"/>
      <c r="I947" s="29"/>
      <c r="J947" s="29"/>
      <c r="K947" s="29"/>
    </row>
    <row r="948" spans="6:11" ht="15.75" customHeight="1">
      <c r="F948" s="29"/>
      <c r="G948" s="29"/>
      <c r="H948" s="29"/>
      <c r="I948" s="29"/>
      <c r="J948" s="29"/>
      <c r="K948" s="29"/>
    </row>
    <row r="949" spans="6:11" ht="15.75" customHeight="1">
      <c r="F949" s="29"/>
      <c r="G949" s="29"/>
      <c r="H949" s="29"/>
      <c r="I949" s="29"/>
      <c r="J949" s="29"/>
      <c r="K949" s="29"/>
    </row>
    <row r="950" spans="6:11" ht="15.75" customHeight="1">
      <c r="F950" s="29"/>
      <c r="G950" s="29"/>
      <c r="H950" s="29"/>
      <c r="I950" s="29"/>
      <c r="J950" s="29"/>
      <c r="K950" s="29"/>
    </row>
    <row r="951" spans="6:11" ht="15.75" customHeight="1">
      <c r="F951" s="29"/>
      <c r="G951" s="29"/>
      <c r="H951" s="29"/>
      <c r="I951" s="29"/>
      <c r="J951" s="29"/>
      <c r="K951" s="29"/>
    </row>
    <row r="952" spans="6:11" ht="15.75" customHeight="1">
      <c r="F952" s="29"/>
      <c r="G952" s="29"/>
      <c r="H952" s="29"/>
      <c r="I952" s="29"/>
      <c r="J952" s="29"/>
      <c r="K952" s="29"/>
    </row>
    <row r="953" spans="6:11" ht="15.75" customHeight="1">
      <c r="F953" s="29"/>
      <c r="G953" s="29"/>
      <c r="H953" s="29"/>
      <c r="I953" s="29"/>
      <c r="J953" s="29"/>
      <c r="K953" s="29"/>
    </row>
    <row r="954" spans="6:11" ht="15.75" customHeight="1">
      <c r="F954" s="29"/>
      <c r="G954" s="29"/>
      <c r="H954" s="29"/>
      <c r="I954" s="29"/>
      <c r="J954" s="29"/>
      <c r="K954" s="29"/>
    </row>
    <row r="955" spans="6:11" ht="15.75" customHeight="1">
      <c r="F955" s="29"/>
      <c r="G955" s="29"/>
      <c r="H955" s="29"/>
      <c r="I955" s="29"/>
      <c r="J955" s="29"/>
      <c r="K955" s="29"/>
    </row>
    <row r="956" spans="6:11" ht="15.75" customHeight="1">
      <c r="F956" s="29"/>
      <c r="G956" s="29"/>
      <c r="H956" s="29"/>
      <c r="I956" s="29"/>
      <c r="J956" s="29"/>
      <c r="K956" s="29"/>
    </row>
    <row r="957" spans="6:11" ht="15.75" customHeight="1">
      <c r="F957" s="29"/>
      <c r="G957" s="29"/>
      <c r="H957" s="29"/>
      <c r="I957" s="29"/>
      <c r="J957" s="29"/>
      <c r="K957" s="29"/>
    </row>
    <row r="958" spans="6:11" ht="15.75" customHeight="1">
      <c r="F958" s="29"/>
      <c r="G958" s="29"/>
      <c r="H958" s="29"/>
      <c r="I958" s="29"/>
      <c r="J958" s="29"/>
      <c r="K958" s="29"/>
    </row>
    <row r="959" spans="6:11" ht="15.75" customHeight="1">
      <c r="F959" s="29"/>
      <c r="G959" s="29"/>
      <c r="H959" s="29"/>
      <c r="I959" s="29"/>
      <c r="J959" s="29"/>
      <c r="K959" s="29"/>
    </row>
    <row r="960" spans="6:11" ht="15.75" customHeight="1">
      <c r="F960" s="29"/>
      <c r="G960" s="29"/>
      <c r="H960" s="29"/>
      <c r="I960" s="29"/>
      <c r="J960" s="29"/>
      <c r="K960" s="29"/>
    </row>
    <row r="961" spans="6:11" ht="15.75" customHeight="1">
      <c r="F961" s="29"/>
      <c r="G961" s="29"/>
      <c r="H961" s="29"/>
      <c r="I961" s="29"/>
      <c r="J961" s="29"/>
      <c r="K961" s="29"/>
    </row>
    <row r="962" spans="6:11" ht="15.75" customHeight="1">
      <c r="F962" s="29"/>
      <c r="G962" s="29"/>
      <c r="H962" s="29"/>
      <c r="I962" s="29"/>
      <c r="J962" s="29"/>
      <c r="K962" s="29"/>
    </row>
    <row r="963" spans="6:11" ht="15.75" customHeight="1">
      <c r="F963" s="29"/>
      <c r="G963" s="29"/>
      <c r="H963" s="29"/>
      <c r="I963" s="29"/>
      <c r="J963" s="29"/>
      <c r="K963" s="29"/>
    </row>
    <row r="964" spans="6:11" ht="15.75" customHeight="1">
      <c r="F964" s="29"/>
      <c r="G964" s="29"/>
      <c r="H964" s="29"/>
      <c r="I964" s="29"/>
      <c r="J964" s="29"/>
      <c r="K964" s="29"/>
    </row>
    <row r="965" spans="6:11" ht="15.75" customHeight="1">
      <c r="F965" s="29"/>
      <c r="G965" s="29"/>
      <c r="H965" s="29"/>
      <c r="I965" s="29"/>
      <c r="J965" s="29"/>
      <c r="K965" s="29"/>
    </row>
    <row r="966" spans="6:11" ht="15.75" customHeight="1">
      <c r="F966" s="29"/>
      <c r="G966" s="29"/>
      <c r="H966" s="29"/>
      <c r="I966" s="29"/>
      <c r="J966" s="29"/>
      <c r="K966" s="29"/>
    </row>
    <row r="967" spans="6:11" ht="15.75" customHeight="1">
      <c r="F967" s="29"/>
      <c r="G967" s="29"/>
      <c r="H967" s="29"/>
      <c r="I967" s="29"/>
      <c r="J967" s="29"/>
      <c r="K967" s="29"/>
    </row>
    <row r="968" spans="6:11" ht="15.75" customHeight="1">
      <c r="F968" s="29"/>
      <c r="G968" s="29"/>
      <c r="H968" s="29"/>
      <c r="I968" s="29"/>
      <c r="J968" s="29"/>
      <c r="K968" s="29"/>
    </row>
    <row r="969" spans="6:11" ht="15.75" customHeight="1">
      <c r="F969" s="29"/>
      <c r="G969" s="29"/>
      <c r="H969" s="29"/>
      <c r="I969" s="29"/>
      <c r="J969" s="29"/>
      <c r="K969" s="29"/>
    </row>
    <row r="970" spans="6:11" ht="15.75" customHeight="1">
      <c r="F970" s="29"/>
      <c r="G970" s="29"/>
      <c r="H970" s="29"/>
      <c r="I970" s="29"/>
      <c r="J970" s="29"/>
      <c r="K970" s="29"/>
    </row>
    <row r="971" spans="6:11" ht="15.75" customHeight="1">
      <c r="F971" s="29"/>
      <c r="G971" s="29"/>
      <c r="H971" s="29"/>
      <c r="I971" s="29"/>
      <c r="J971" s="29"/>
      <c r="K971" s="29"/>
    </row>
    <row r="972" spans="6:11" ht="15.75" customHeight="1">
      <c r="F972" s="29"/>
      <c r="G972" s="29"/>
      <c r="H972" s="29"/>
      <c r="I972" s="29"/>
      <c r="J972" s="29"/>
      <c r="K972" s="29"/>
    </row>
    <row r="973" spans="6:11" ht="15.75" customHeight="1">
      <c r="F973" s="29"/>
      <c r="G973" s="29"/>
      <c r="H973" s="29"/>
      <c r="I973" s="29"/>
      <c r="J973" s="29"/>
      <c r="K973" s="29"/>
    </row>
    <row r="974" spans="6:11" ht="15.75" customHeight="1">
      <c r="F974" s="29"/>
      <c r="G974" s="29"/>
      <c r="H974" s="29"/>
      <c r="I974" s="29"/>
      <c r="J974" s="29"/>
      <c r="K974" s="29"/>
    </row>
    <row r="975" spans="6:11" ht="15.75" customHeight="1">
      <c r="F975" s="29"/>
      <c r="G975" s="29"/>
      <c r="H975" s="29"/>
      <c r="I975" s="29"/>
      <c r="J975" s="29"/>
      <c r="K975" s="29"/>
    </row>
    <row r="976" spans="6:11" ht="15.75" customHeight="1">
      <c r="F976" s="29"/>
      <c r="G976" s="29"/>
      <c r="H976" s="29"/>
      <c r="I976" s="29"/>
      <c r="J976" s="29"/>
      <c r="K976" s="29"/>
    </row>
    <row r="977" spans="6:11" ht="15.75" customHeight="1">
      <c r="F977" s="29"/>
      <c r="G977" s="29"/>
      <c r="H977" s="29"/>
      <c r="I977" s="29"/>
      <c r="J977" s="29"/>
      <c r="K977" s="29"/>
    </row>
    <row r="978" spans="6:11" ht="15.75" customHeight="1">
      <c r="F978" s="29"/>
      <c r="G978" s="29"/>
      <c r="H978" s="29"/>
      <c r="I978" s="29"/>
      <c r="J978" s="29"/>
      <c r="K978" s="29"/>
    </row>
    <row r="979" spans="6:11" ht="15.75" customHeight="1">
      <c r="F979" s="29"/>
      <c r="G979" s="29"/>
      <c r="H979" s="29"/>
      <c r="I979" s="29"/>
      <c r="J979" s="29"/>
      <c r="K979" s="29"/>
    </row>
    <row r="980" spans="6:11" ht="15.75" customHeight="1">
      <c r="F980" s="29"/>
      <c r="G980" s="29"/>
      <c r="H980" s="29"/>
      <c r="I980" s="29"/>
      <c r="J980" s="29"/>
      <c r="K980" s="29"/>
    </row>
    <row r="981" spans="6:11" ht="15.75" customHeight="1">
      <c r="F981" s="29"/>
      <c r="G981" s="29"/>
      <c r="H981" s="29"/>
      <c r="I981" s="29"/>
      <c r="J981" s="29"/>
      <c r="K981" s="29"/>
    </row>
    <row r="982" spans="6:11" ht="15.75" customHeight="1">
      <c r="F982" s="29"/>
      <c r="G982" s="29"/>
      <c r="H982" s="29"/>
      <c r="I982" s="29"/>
      <c r="J982" s="29"/>
      <c r="K982" s="29"/>
    </row>
    <row r="983" spans="6:11" ht="15.75" customHeight="1">
      <c r="F983" s="29"/>
      <c r="G983" s="29"/>
      <c r="H983" s="29"/>
      <c r="I983" s="29"/>
      <c r="J983" s="29"/>
      <c r="K983" s="29"/>
    </row>
    <row r="984" spans="6:11" ht="15.75" customHeight="1">
      <c r="F984" s="29"/>
      <c r="G984" s="29"/>
      <c r="H984" s="29"/>
      <c r="I984" s="29"/>
      <c r="J984" s="29"/>
      <c r="K984" s="29"/>
    </row>
    <row r="985" spans="6:11" ht="15.75" customHeight="1">
      <c r="F985" s="29"/>
      <c r="G985" s="29"/>
      <c r="H985" s="29"/>
      <c r="I985" s="29"/>
      <c r="J985" s="29"/>
      <c r="K985" s="29"/>
    </row>
    <row r="986" spans="6:11" ht="15.75" customHeight="1">
      <c r="F986" s="29"/>
      <c r="G986" s="29"/>
      <c r="H986" s="29"/>
      <c r="I986" s="29"/>
      <c r="J986" s="29"/>
      <c r="K986" s="29"/>
    </row>
    <row r="987" spans="6:11" ht="15.75" customHeight="1">
      <c r="F987" s="29"/>
      <c r="G987" s="29"/>
      <c r="H987" s="29"/>
      <c r="I987" s="29"/>
      <c r="J987" s="29"/>
      <c r="K987" s="29"/>
    </row>
    <row r="988" spans="6:11" ht="15.75" customHeight="1">
      <c r="F988" s="29"/>
      <c r="G988" s="29"/>
      <c r="H988" s="29"/>
      <c r="I988" s="29"/>
      <c r="J988" s="29"/>
      <c r="K988" s="29"/>
    </row>
    <row r="989" spans="6:11" ht="15.75" customHeight="1">
      <c r="F989" s="29"/>
      <c r="G989" s="29"/>
      <c r="H989" s="29"/>
      <c r="I989" s="29"/>
      <c r="J989" s="29"/>
      <c r="K989" s="29"/>
    </row>
  </sheetData>
  <mergeCells count="25">
    <mergeCell ref="C88:C92"/>
    <mergeCell ref="C93:C99"/>
    <mergeCell ref="C113:C134"/>
    <mergeCell ref="C135:C137"/>
    <mergeCell ref="C4:C7"/>
    <mergeCell ref="C8:C10"/>
    <mergeCell ref="C11:C13"/>
    <mergeCell ref="C14:C19"/>
    <mergeCell ref="C20:C24"/>
    <mergeCell ref="C53:C57"/>
    <mergeCell ref="C107:C111"/>
    <mergeCell ref="C100:C103"/>
    <mergeCell ref="C104:C106"/>
    <mergeCell ref="C25:C28"/>
    <mergeCell ref="C74:C76"/>
    <mergeCell ref="C77:C81"/>
    <mergeCell ref="C82:C87"/>
    <mergeCell ref="C58:C61"/>
    <mergeCell ref="C62:C65"/>
    <mergeCell ref="C66:C73"/>
    <mergeCell ref="C29:C31"/>
    <mergeCell ref="C32:C33"/>
    <mergeCell ref="C34:C38"/>
    <mergeCell ref="C47:C48"/>
    <mergeCell ref="C49:C52"/>
  </mergeCells>
  <hyperlinks>
    <hyperlink ref="G4" r:id="rId1" xr:uid="{8EF05E6F-49BA-41FA-BF8B-3C19A209F127}"/>
    <hyperlink ref="G5" r:id="rId2" xr:uid="{5929F86C-EC90-4E94-B11E-E2E18E77B18B}"/>
    <hyperlink ref="G6" r:id="rId3" xr:uid="{6E04BB26-C003-4EB0-B519-669A73DDA342}"/>
    <hyperlink ref="G7" r:id="rId4" xr:uid="{E28E8DE4-E989-433E-A3FB-DD5462B64625}"/>
    <hyperlink ref="G8" r:id="rId5" xr:uid="{39E61742-1A38-4403-B9B3-66C1F5D3022C}"/>
    <hyperlink ref="G9" r:id="rId6" xr:uid="{C2BF1D01-36DC-4089-AF32-500D4CDD9ED9}"/>
    <hyperlink ref="G10" r:id="rId7" xr:uid="{52834A62-3043-42AB-B086-BF71BED83FF7}"/>
    <hyperlink ref="G11" r:id="rId8" xr:uid="{21BDF674-C4EB-496F-BEA4-757B9D456752}"/>
    <hyperlink ref="G12" r:id="rId9" xr:uid="{0E7AA516-A0A5-4A4B-AA46-F9FEB96BD576}"/>
    <hyperlink ref="G13" r:id="rId10" xr:uid="{4C57B470-AC7A-45A3-93D8-78DF21972CAB}"/>
    <hyperlink ref="G14" r:id="rId11" xr:uid="{290F310A-DCE2-4D07-930F-BFE449745E57}"/>
    <hyperlink ref="G15" r:id="rId12" xr:uid="{84759866-364B-4592-87BA-4C61A1BFC9A1}"/>
    <hyperlink ref="G16" r:id="rId13" xr:uid="{D12FE9CA-B08C-4E10-95E3-C930D2987E72}"/>
    <hyperlink ref="G17" r:id="rId14" xr:uid="{4470125E-43D1-4590-907B-5C8FAD078F46}"/>
    <hyperlink ref="G18" r:id="rId15" xr:uid="{4CDEE763-0BE3-452D-B3DE-8F5991F9C75E}"/>
    <hyperlink ref="G19" r:id="rId16" xr:uid="{EDD953C2-FE88-447F-BD82-1538A5F13BBE}"/>
    <hyperlink ref="G20" r:id="rId17" xr:uid="{514D5265-28EA-4F19-A9EC-6812813CEA78}"/>
    <hyperlink ref="G21" r:id="rId18" xr:uid="{716FC099-BE4D-4622-A02D-085F30655D86}"/>
    <hyperlink ref="G22" r:id="rId19" xr:uid="{680882FE-1AD4-4C60-BFB3-4B4D6A93A498}"/>
    <hyperlink ref="G23" r:id="rId20" xr:uid="{C1A318F7-BBE2-42BA-83F1-8B030792751C}"/>
    <hyperlink ref="G24" r:id="rId21" xr:uid="{05A8EE1A-F8FF-41D9-ABAC-38A3DDF3CBE6}"/>
    <hyperlink ref="G25" r:id="rId22" xr:uid="{AE004E07-19B5-4424-BD44-1E0168D2B76E}"/>
    <hyperlink ref="G26" r:id="rId23" xr:uid="{BF5E1B5F-3E43-4221-A1FD-3F7B83B48D29}"/>
    <hyperlink ref="G27" r:id="rId24" xr:uid="{A9DA5AA5-96F0-4FB5-9D6B-2B03F5CDC533}"/>
    <hyperlink ref="G28" r:id="rId25" xr:uid="{D2263C35-E667-4595-A6AA-F6A770BDA48F}"/>
    <hyperlink ref="G29" r:id="rId26" xr:uid="{E56D028C-CBDD-474F-8098-1CCF43DE5669}"/>
    <hyperlink ref="G31" r:id="rId27" xr:uid="{4874A5EC-4FFF-4684-A79E-7FB5C9DA8549}"/>
    <hyperlink ref="G30" r:id="rId28" xr:uid="{D0812DC3-9AAD-484C-BB64-AEA0CE2E5A71}"/>
    <hyperlink ref="G32" r:id="rId29" xr:uid="{70571C74-3184-498C-BFCD-82456785906B}"/>
    <hyperlink ref="G33" r:id="rId30" xr:uid="{C13E2E5A-4E9F-47C1-9DAF-EF6BE8E517F7}"/>
    <hyperlink ref="G34" r:id="rId31" xr:uid="{CA50A2FC-28C4-462D-A7B0-0B3FCFE59EAF}"/>
    <hyperlink ref="G35" r:id="rId32" xr:uid="{A7DC2B08-9EC1-46E1-A432-1214B873238E}"/>
    <hyperlink ref="G36" r:id="rId33" xr:uid="{EBEBA0D9-155E-401B-9E79-854140FFFB91}"/>
    <hyperlink ref="G37" r:id="rId34" xr:uid="{8DE608D8-9837-477C-B1D0-DA6F4E4D9312}"/>
    <hyperlink ref="G38" r:id="rId35" xr:uid="{4C5420DD-18A4-4C52-A527-7A1732D5340A}"/>
    <hyperlink ref="G39" r:id="rId36" xr:uid="{FD776501-21A4-449B-AB52-E9C4D4D9FD8E}"/>
    <hyperlink ref="G40" r:id="rId37" xr:uid="{F8D20E69-A0D1-4080-812F-A290D57BF4BB}"/>
    <hyperlink ref="G41" r:id="rId38" xr:uid="{88722309-9BAC-49A3-BC9B-34C9826873AE}"/>
    <hyperlink ref="G42" r:id="rId39" xr:uid="{C0D1AD2A-C226-4C8C-A8EA-2D6E98B895E9}"/>
    <hyperlink ref="G44" r:id="rId40" xr:uid="{E0CF6240-7568-4FCE-A2BA-EBB210BE67D5}"/>
    <hyperlink ref="G45" r:id="rId41" xr:uid="{6184A2F8-4BF5-4AFB-9428-B0AAD5952E51}"/>
    <hyperlink ref="G46" r:id="rId42" xr:uid="{304B0635-CECA-4DD0-AFC1-04B8A8E243CF}"/>
    <hyperlink ref="G47" r:id="rId43" xr:uid="{8FC633CD-41F5-4299-842E-7183AD2B1191}"/>
    <hyperlink ref="G48" r:id="rId44" xr:uid="{00C28909-6B25-4B73-9277-321C10A2FB7C}"/>
    <hyperlink ref="G49" r:id="rId45" xr:uid="{5AA4423E-8938-4E93-89E0-22B5992F3573}"/>
    <hyperlink ref="G50" r:id="rId46" xr:uid="{346906EF-4463-44BF-A320-7077B4351A30}"/>
    <hyperlink ref="G51" r:id="rId47" xr:uid="{EA3DD823-FFE8-4CC9-8FC1-9C479F75D188}"/>
    <hyperlink ref="G52" r:id="rId48" xr:uid="{57BB6EF7-ACF5-4D54-BBA8-C7E9BFD80207}"/>
    <hyperlink ref="G53" r:id="rId49" xr:uid="{58199AA6-B2B8-48B3-8F0B-EDDE1CD24453}"/>
    <hyperlink ref="G54" r:id="rId50" xr:uid="{C84479A0-F30A-4605-A11F-71B8939E0885}"/>
    <hyperlink ref="G55" r:id="rId51" xr:uid="{EF4239F6-06D2-46FA-B889-92DC6D09DE5D}"/>
    <hyperlink ref="G56" r:id="rId52" xr:uid="{1F42DEDF-8638-45DF-8B97-5FD77E3C947E}"/>
    <hyperlink ref="G57" r:id="rId53" xr:uid="{6704F6D3-8ECF-4A9B-A2FD-CCA343D78C4E}"/>
    <hyperlink ref="G58" r:id="rId54" xr:uid="{258D3EFA-148B-46AC-8C83-BB5763AC0BE7}"/>
    <hyperlink ref="G59" r:id="rId55" xr:uid="{D49EA0AE-6F5F-496E-AFA1-2F6A3D656011}"/>
    <hyperlink ref="G60" r:id="rId56" xr:uid="{5C53590F-FB78-49F0-988F-A794C66097F9}"/>
    <hyperlink ref="G61" r:id="rId57" xr:uid="{98F7C25C-2748-43A1-8333-6FA4D4839E1D}"/>
    <hyperlink ref="G62" r:id="rId58" xr:uid="{03F5847C-C75B-4EE2-90E9-D5FDB4655FC7}"/>
    <hyperlink ref="G63" r:id="rId59" xr:uid="{297ED854-57BD-4E98-A7DD-7CB086ECAE53}"/>
    <hyperlink ref="G64" r:id="rId60" xr:uid="{618DE6B3-684C-484E-B62F-3F194C6FB25F}"/>
    <hyperlink ref="G65" r:id="rId61" xr:uid="{F3184408-FDEC-472A-95A4-955E7A334C09}"/>
    <hyperlink ref="G66" r:id="rId62" xr:uid="{622E69D0-30D4-49A9-88FA-E0283F61C3FC}"/>
    <hyperlink ref="G67" r:id="rId63" xr:uid="{9898E72B-1A6A-4632-846B-9301C61E0275}"/>
    <hyperlink ref="G68" r:id="rId64" xr:uid="{E4DE745A-2A14-4239-ADB6-B96F9C9024C4}"/>
    <hyperlink ref="G69" r:id="rId65" xr:uid="{EC1012C0-82D2-47B3-A531-F4CA74C003A8}"/>
    <hyperlink ref="G70" r:id="rId66" xr:uid="{7D059B56-111B-42FD-BC94-4AF4CA9F12B1}"/>
    <hyperlink ref="G71" r:id="rId67" xr:uid="{8DCF03E7-EAA8-4BE5-AFD5-071F3B53163A}"/>
    <hyperlink ref="G72" r:id="rId68" xr:uid="{3FECA39B-898B-4548-93BB-AF6C17A0639E}"/>
    <hyperlink ref="G73" r:id="rId69" xr:uid="{DEBE2039-2929-4F0C-973D-48457DD5AFFA}"/>
    <hyperlink ref="G74" r:id="rId70" xr:uid="{92105995-38AB-408C-8C19-E31B3338C504}"/>
    <hyperlink ref="G75" r:id="rId71" xr:uid="{DFE0560E-9C1F-49CE-8D73-DD9DC1F49810}"/>
    <hyperlink ref="G76" r:id="rId72" xr:uid="{B8649C1F-6E3A-49B1-A246-283AFC761423}"/>
    <hyperlink ref="G77" r:id="rId73" xr:uid="{654BA594-1864-4EB4-80DF-66278D2C5F62}"/>
    <hyperlink ref="G78" r:id="rId74" xr:uid="{5E15EEF5-CB5C-422C-BFFF-1845A5C274F3}"/>
    <hyperlink ref="G79" r:id="rId75" xr:uid="{2560C730-BDBD-4928-9694-45167D066E97}"/>
    <hyperlink ref="G81" r:id="rId76" xr:uid="{E7C8065A-745D-470E-B36E-C3388D2F5222}"/>
    <hyperlink ref="G80" r:id="rId77" xr:uid="{2440C0B0-F835-48AE-B969-5DD415E47BF2}"/>
    <hyperlink ref="G82" r:id="rId78" xr:uid="{A59476E9-6DDE-4463-905A-F403D8ADFAC9}"/>
    <hyperlink ref="G83" r:id="rId79" xr:uid="{DD458B33-F016-4351-9F55-636B8977E4EA}"/>
    <hyperlink ref="G84" r:id="rId80" xr:uid="{0A994443-DA9B-41B7-801B-A28065127452}"/>
    <hyperlink ref="G85" r:id="rId81" xr:uid="{DAEEB6FE-1AE2-4D34-BC9A-A9CA8E25E5AA}"/>
    <hyperlink ref="G86" r:id="rId82" xr:uid="{AFAA4688-9B25-4E29-9B2C-5067E4456700}"/>
    <hyperlink ref="G87" r:id="rId83" xr:uid="{6429E618-03A4-41A3-B01B-C43C011660A8}"/>
    <hyperlink ref="G88" r:id="rId84" xr:uid="{E9DE6C01-563E-465C-A63A-7FCEF531E56A}"/>
    <hyperlink ref="G89" r:id="rId85" xr:uid="{868F5207-B7FB-455C-AC58-A4A464408496}"/>
    <hyperlink ref="G91" r:id="rId86" xr:uid="{9C0482FA-A8B5-4976-812E-DCFA9AC50208}"/>
    <hyperlink ref="G92" r:id="rId87" xr:uid="{1BEC29B8-762D-4B98-BBE9-6959FC35BC35}"/>
    <hyperlink ref="G93" r:id="rId88" xr:uid="{DFA8A4B7-BDDD-434D-8223-B3CE7E961B4F}"/>
    <hyperlink ref="G94" r:id="rId89" xr:uid="{753187A0-2A68-4C37-95B3-BF433A130927}"/>
    <hyperlink ref="G95" r:id="rId90" xr:uid="{F81BB1AC-579A-4DCB-A8F3-D548948E948D}"/>
    <hyperlink ref="G96" r:id="rId91" display="https://www.youtube.com/live/cKx4GwEHEbE?si=GGvVlSjXlul_IyF1" xr:uid="{EC84CEB5-7E37-41E5-85D2-B04941E776D2}"/>
    <hyperlink ref="G97" r:id="rId92" xr:uid="{64B12086-0D19-461C-B6B8-CBE886786190}"/>
    <hyperlink ref="G98" r:id="rId93" xr:uid="{54F5853E-EF9C-4F90-A12B-CBA87D884B3E}"/>
    <hyperlink ref="G99" r:id="rId94" xr:uid="{4CE2ED8C-5BEE-4FB7-8A52-D16F9F33F08F}"/>
    <hyperlink ref="G100" r:id="rId95" xr:uid="{6A1F25ED-F14B-4B9E-B7AF-8FDAF83D15B6}"/>
    <hyperlink ref="G101" r:id="rId96" xr:uid="{06403402-5C89-4C97-98F3-97FB15EFE4AA}"/>
    <hyperlink ref="G102" r:id="rId97" xr:uid="{A0773EB5-1D1C-421F-8B8D-8C45FFB48633}"/>
    <hyperlink ref="G103" r:id="rId98" xr:uid="{6C19121C-20DE-4194-BCEE-89CDE103B31E}"/>
    <hyperlink ref="G104" r:id="rId99" xr:uid="{16169F32-55EF-4227-975F-C6F5178EEDBD}"/>
    <hyperlink ref="G105" r:id="rId100" xr:uid="{9248B6E8-0516-448F-B82A-9539F43897EC}"/>
    <hyperlink ref="G106" r:id="rId101" xr:uid="{322CA933-7280-4A59-B139-D23110A3E503}"/>
    <hyperlink ref="G107" r:id="rId102" xr:uid="{A9D4325D-FD2F-424D-AF96-CD4BD95CF297}"/>
    <hyperlink ref="G108" r:id="rId103" xr:uid="{DC16C0E2-51A5-45D0-BDAF-1F2693964028}"/>
    <hyperlink ref="G109" r:id="rId104" xr:uid="{2C85BF0D-730D-4E99-9675-B6A325B17F13}"/>
    <hyperlink ref="G110" r:id="rId105" xr:uid="{5954C4B5-F26F-42E8-B10D-44CA989A609E}"/>
    <hyperlink ref="G111" r:id="rId106" xr:uid="{7D9E5AD6-38E8-4D2A-8AC3-0DD3E69E54DC}"/>
    <hyperlink ref="G112" r:id="rId107" xr:uid="{CAC57F27-3103-4E7C-B697-A170F786621C}"/>
    <hyperlink ref="G113" r:id="rId108" xr:uid="{BE49A20D-F0C3-4139-AA4D-A58D11D67A6C}"/>
    <hyperlink ref="G114" r:id="rId109" xr:uid="{A55E4D3B-3970-4FB3-B7F3-7A1EF8128D09}"/>
    <hyperlink ref="G115" r:id="rId110" xr:uid="{420982D8-DAC6-4BF5-8380-7296A744DD7A}"/>
    <hyperlink ref="G116" r:id="rId111" xr:uid="{89B7B684-B421-42B4-B0F5-9CC11B5AB175}"/>
    <hyperlink ref="G117" r:id="rId112" xr:uid="{9E68B206-B1D4-4272-AC0E-298540FCFA0E}"/>
    <hyperlink ref="G118" r:id="rId113" xr:uid="{1BF5EA3F-1876-462C-A027-B09506870790}"/>
    <hyperlink ref="G119" r:id="rId114" xr:uid="{0093B6F0-2A18-44B5-9E22-303DF9CC7FCF}"/>
    <hyperlink ref="G120" r:id="rId115" xr:uid="{684F4943-F11C-45F9-944E-B743248CCCFD}"/>
    <hyperlink ref="G121" r:id="rId116" xr:uid="{A43E810B-1F95-4EBC-A2A8-027DE96B67CA}"/>
    <hyperlink ref="G122" r:id="rId117" xr:uid="{48E4A308-3250-427C-93A9-AEBB08D06945}"/>
    <hyperlink ref="G123" r:id="rId118" xr:uid="{DAB21CB4-0A10-47F3-B43C-FB89FC83F2E8}"/>
    <hyperlink ref="G124" r:id="rId119" xr:uid="{D1C7D0CC-7039-44D8-A3C1-2138528CB0CD}"/>
    <hyperlink ref="G125" r:id="rId120" xr:uid="{80756700-D571-4092-8704-1E9C2D2C35E5}"/>
    <hyperlink ref="G126" r:id="rId121" xr:uid="{E3CD4686-0B78-472F-8907-54F66A846531}"/>
    <hyperlink ref="G127" r:id="rId122" xr:uid="{CDD4FA7F-FC4B-4235-9FF6-51E039C12B8B}"/>
    <hyperlink ref="G128" r:id="rId123" xr:uid="{635FEC0D-8BF3-45E7-A039-9C84518AC652}"/>
    <hyperlink ref="G129" r:id="rId124" xr:uid="{0E78C0B5-D3C3-4E8E-92F5-ED1A33EB78D2}"/>
    <hyperlink ref="G130" r:id="rId125" xr:uid="{76C4B9E7-7E46-4C1B-8E55-BF634ED921C7}"/>
    <hyperlink ref="G131" r:id="rId126" xr:uid="{D1D7C0B3-09DC-45EC-B096-3FC114F95210}"/>
    <hyperlink ref="G132" r:id="rId127" xr:uid="{33C5A109-7DAE-46C9-9F81-1E8AC546619A}"/>
    <hyperlink ref="G133" r:id="rId128" xr:uid="{431ED6C5-B62A-4497-9042-D10E29A154B1}"/>
    <hyperlink ref="G134" r:id="rId129" xr:uid="{4062C181-50FC-40FF-A4E4-959517523055}"/>
    <hyperlink ref="G135" r:id="rId130" xr:uid="{D096353B-4CC6-434D-995F-2EB6FBABEA9C}"/>
    <hyperlink ref="G136" r:id="rId131" xr:uid="{0EC33DEF-16AE-45DE-B615-9600C435BD9D}"/>
    <hyperlink ref="G137" r:id="rId132" xr:uid="{B5AE7A01-0DB6-401E-A41E-DE130C41F66E}"/>
    <hyperlink ref="G138" r:id="rId133" xr:uid="{A63ADF8D-3269-49E6-A430-B61D4A70CF98}"/>
    <hyperlink ref="G2" r:id="rId134" xr:uid="{52FF6A5F-A9BE-46D0-8252-35668F5F0228}"/>
  </hyperlinks>
  <pageMargins left="0.23622047244094491" right="0.23622047244094491" top="0.74803149606299213" bottom="0.74803149606299213" header="0" footer="0"/>
  <pageSetup paperSize="9" orientation="portrait"/>
  <drawing r:id="rId135"/>
  <legacyDrawing r:id="rId1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52BD-350D-4D27-A55A-BAA7C206852B}">
  <dimension ref="A1:K158"/>
  <sheetViews>
    <sheetView showGridLines="0" zoomScale="130" zoomScaleNormal="130" workbookViewId="0">
      <pane xSplit="3" ySplit="1" topLeftCell="D2" activePane="bottomRight" state="frozen"/>
      <selection pane="bottomRight" activeCell="D1" sqref="D1"/>
      <selection pane="bottomLeft" activeCell="D1" sqref="D1"/>
      <selection pane="topRight" activeCell="D1" sqref="D1"/>
    </sheetView>
  </sheetViews>
  <sheetFormatPr defaultRowHeight="14.45"/>
  <cols>
    <col min="1" max="1" width="2" bestFit="1" customWidth="1"/>
    <col min="3" max="3" width="4" bestFit="1" customWidth="1"/>
    <col min="4" max="4" width="37.85546875" customWidth="1"/>
    <col min="5" max="5" width="11.42578125" customWidth="1"/>
    <col min="6" max="6" width="38.5703125" customWidth="1"/>
    <col min="7" max="7" width="24.42578125" customWidth="1"/>
    <col min="8" max="8" width="11.42578125" customWidth="1"/>
    <col min="9" max="9" width="23.5703125" customWidth="1"/>
    <col min="10" max="10" width="7.42578125" customWidth="1"/>
    <col min="11" max="11" width="25.140625" customWidth="1"/>
  </cols>
  <sheetData>
    <row r="1" spans="1:11" s="1" customFormat="1">
      <c r="A1" s="278" t="s">
        <v>432</v>
      </c>
      <c r="B1" s="278"/>
      <c r="C1" s="254" t="s">
        <v>433</v>
      </c>
      <c r="D1" s="2" t="s">
        <v>434</v>
      </c>
      <c r="E1" s="2" t="s">
        <v>435</v>
      </c>
      <c r="F1" s="2" t="s">
        <v>436</v>
      </c>
      <c r="G1" s="2" t="s">
        <v>437</v>
      </c>
      <c r="H1" s="2" t="s">
        <v>438</v>
      </c>
      <c r="I1" s="2" t="s">
        <v>439</v>
      </c>
      <c r="J1" s="2" t="s">
        <v>6</v>
      </c>
      <c r="K1" s="2" t="s">
        <v>440</v>
      </c>
    </row>
    <row r="2" spans="1:11">
      <c r="A2" s="42">
        <v>1</v>
      </c>
      <c r="B2" s="42">
        <v>2024</v>
      </c>
      <c r="C2" s="42">
        <v>1</v>
      </c>
      <c r="D2" s="50" t="s">
        <v>441</v>
      </c>
      <c r="E2" s="41">
        <v>45298</v>
      </c>
      <c r="F2" s="50" t="s">
        <v>442</v>
      </c>
      <c r="G2" s="2"/>
      <c r="H2" s="257" t="s">
        <v>443</v>
      </c>
      <c r="I2" s="2"/>
      <c r="J2" s="42" t="s">
        <v>11</v>
      </c>
      <c r="K2" s="42" t="s">
        <v>444</v>
      </c>
    </row>
    <row r="3" spans="1:11">
      <c r="A3" s="42">
        <v>1</v>
      </c>
      <c r="B3" s="42">
        <v>2024</v>
      </c>
      <c r="C3" s="42">
        <v>2</v>
      </c>
      <c r="D3" s="50" t="s">
        <v>445</v>
      </c>
      <c r="E3" s="41">
        <f>+E2+7</f>
        <v>45305</v>
      </c>
      <c r="F3" s="50" t="s">
        <v>446</v>
      </c>
      <c r="G3" s="42" t="s">
        <v>447</v>
      </c>
      <c r="H3" s="260"/>
      <c r="I3" s="2"/>
      <c r="J3" s="42" t="s">
        <v>11</v>
      </c>
      <c r="K3" s="42" t="s">
        <v>444</v>
      </c>
    </row>
    <row r="4" spans="1:11">
      <c r="A4" s="42">
        <v>1</v>
      </c>
      <c r="B4" s="42">
        <v>2024</v>
      </c>
      <c r="C4" s="42">
        <v>3</v>
      </c>
      <c r="D4" s="50" t="s">
        <v>448</v>
      </c>
      <c r="E4" s="41">
        <f t="shared" ref="E4" si="0">+E3+7</f>
        <v>45312</v>
      </c>
      <c r="F4" s="50" t="s">
        <v>449</v>
      </c>
      <c r="G4" s="42" t="s">
        <v>450</v>
      </c>
      <c r="H4" s="260"/>
      <c r="I4" s="2"/>
      <c r="J4" s="42" t="s">
        <v>11</v>
      </c>
      <c r="K4" s="42"/>
    </row>
    <row r="5" spans="1:11">
      <c r="A5" s="42">
        <v>1</v>
      </c>
      <c r="B5" s="42">
        <v>2024</v>
      </c>
      <c r="C5" s="42">
        <v>4</v>
      </c>
      <c r="D5" s="50" t="s">
        <v>451</v>
      </c>
      <c r="E5" s="41">
        <f t="shared" ref="E5" si="1">+E4+7</f>
        <v>45319</v>
      </c>
      <c r="F5" s="50" t="s">
        <v>452</v>
      </c>
      <c r="G5" s="42" t="s">
        <v>453</v>
      </c>
      <c r="H5" s="260"/>
      <c r="I5" s="2"/>
      <c r="J5" s="42" t="s">
        <v>11</v>
      </c>
      <c r="K5" s="42"/>
    </row>
    <row r="6" spans="1:11">
      <c r="A6" s="42">
        <v>1</v>
      </c>
      <c r="B6" s="42">
        <v>2024</v>
      </c>
      <c r="C6" s="42">
        <v>5</v>
      </c>
      <c r="D6" s="50" t="s">
        <v>454</v>
      </c>
      <c r="E6" s="41">
        <f t="shared" ref="E6" si="2">+E5+7</f>
        <v>45326</v>
      </c>
      <c r="F6" s="50" t="s">
        <v>455</v>
      </c>
      <c r="G6" s="42" t="s">
        <v>456</v>
      </c>
      <c r="H6" s="260"/>
      <c r="I6" s="2"/>
      <c r="J6" s="42" t="s">
        <v>11</v>
      </c>
      <c r="K6" s="42"/>
    </row>
    <row r="7" spans="1:11">
      <c r="A7" s="42">
        <v>1</v>
      </c>
      <c r="B7" s="42">
        <v>2024</v>
      </c>
      <c r="C7" s="42">
        <v>6</v>
      </c>
      <c r="D7" s="50" t="s">
        <v>457</v>
      </c>
      <c r="E7" s="41">
        <f t="shared" ref="E7" si="3">+E6+7</f>
        <v>45333</v>
      </c>
      <c r="F7" s="51" t="s">
        <v>458</v>
      </c>
      <c r="G7" s="42" t="s">
        <v>459</v>
      </c>
      <c r="H7" s="258"/>
      <c r="I7" s="2"/>
      <c r="J7" s="42" t="s">
        <v>11</v>
      </c>
      <c r="K7" s="42" t="s">
        <v>460</v>
      </c>
    </row>
    <row r="8" spans="1:11">
      <c r="A8" s="42">
        <v>1</v>
      </c>
      <c r="B8" s="42">
        <v>2024</v>
      </c>
      <c r="C8" s="42">
        <v>7</v>
      </c>
      <c r="D8" s="50" t="s">
        <v>461</v>
      </c>
      <c r="E8" s="41">
        <f t="shared" ref="E8" si="4">+E7+7</f>
        <v>45340</v>
      </c>
      <c r="F8" s="52" t="s">
        <v>457</v>
      </c>
      <c r="G8" s="41" t="s">
        <v>462</v>
      </c>
      <c r="H8" s="257" t="s">
        <v>457</v>
      </c>
      <c r="I8" s="41" t="s">
        <v>463</v>
      </c>
      <c r="J8" s="42" t="s">
        <v>11</v>
      </c>
      <c r="K8" s="42"/>
    </row>
    <row r="9" spans="1:11">
      <c r="A9" s="42">
        <v>1</v>
      </c>
      <c r="B9" s="42">
        <v>2024</v>
      </c>
      <c r="C9" s="42">
        <v>8</v>
      </c>
      <c r="D9" s="50" t="s">
        <v>464</v>
      </c>
      <c r="E9" s="41">
        <f t="shared" ref="E9" si="5">+E8+7</f>
        <v>45347</v>
      </c>
      <c r="F9" s="50" t="s">
        <v>461</v>
      </c>
      <c r="G9" s="42" t="s">
        <v>465</v>
      </c>
      <c r="H9" s="260"/>
      <c r="I9" s="42" t="s">
        <v>466</v>
      </c>
      <c r="J9" s="42" t="s">
        <v>11</v>
      </c>
      <c r="K9" s="42"/>
    </row>
    <row r="10" spans="1:11">
      <c r="A10" s="42">
        <v>1</v>
      </c>
      <c r="B10" s="42">
        <v>2024</v>
      </c>
      <c r="C10" s="42">
        <v>9</v>
      </c>
      <c r="D10" s="50" t="s">
        <v>467</v>
      </c>
      <c r="E10" s="41">
        <f t="shared" ref="E10" si="6">+E9+7</f>
        <v>45354</v>
      </c>
      <c r="F10" s="52" t="s">
        <v>464</v>
      </c>
      <c r="G10" s="41" t="s">
        <v>468</v>
      </c>
      <c r="H10" s="260"/>
      <c r="I10" s="41" t="s">
        <v>469</v>
      </c>
      <c r="J10" s="42" t="s">
        <v>11</v>
      </c>
      <c r="K10" s="42"/>
    </row>
    <row r="11" spans="1:11">
      <c r="A11" s="42">
        <v>1</v>
      </c>
      <c r="B11" s="42">
        <v>2024</v>
      </c>
      <c r="C11" s="42">
        <v>10</v>
      </c>
      <c r="D11" s="50" t="s">
        <v>470</v>
      </c>
      <c r="E11" s="41">
        <f t="shared" ref="E11" si="7">+E10+7</f>
        <v>45361</v>
      </c>
      <c r="F11" s="52" t="s">
        <v>467</v>
      </c>
      <c r="G11" s="41" t="s">
        <v>471</v>
      </c>
      <c r="H11" s="258"/>
      <c r="I11" s="41" t="s">
        <v>472</v>
      </c>
      <c r="J11" s="42" t="s">
        <v>11</v>
      </c>
      <c r="K11" s="42"/>
    </row>
    <row r="12" spans="1:11">
      <c r="A12" s="42">
        <v>1</v>
      </c>
      <c r="B12" s="42">
        <v>2024</v>
      </c>
      <c r="C12" s="42">
        <v>11</v>
      </c>
      <c r="D12" s="50" t="s">
        <v>473</v>
      </c>
      <c r="E12" s="41">
        <f t="shared" ref="E12" si="8">+E11+7</f>
        <v>45368</v>
      </c>
      <c r="F12" s="52" t="s">
        <v>470</v>
      </c>
      <c r="G12" s="41" t="s">
        <v>474</v>
      </c>
      <c r="H12" s="257" t="s">
        <v>22</v>
      </c>
      <c r="I12" s="41"/>
      <c r="J12" s="42" t="s">
        <v>11</v>
      </c>
      <c r="K12" s="42"/>
    </row>
    <row r="13" spans="1:11">
      <c r="A13" s="42">
        <v>1</v>
      </c>
      <c r="B13" s="42">
        <v>2024</v>
      </c>
      <c r="C13" s="42">
        <v>12</v>
      </c>
      <c r="D13" s="50" t="s">
        <v>475</v>
      </c>
      <c r="E13" s="41">
        <f t="shared" ref="E13" si="9">+E12+7</f>
        <v>45375</v>
      </c>
      <c r="F13" s="52" t="s">
        <v>473</v>
      </c>
      <c r="G13" s="41" t="s">
        <v>476</v>
      </c>
      <c r="H13" s="260"/>
      <c r="I13" s="41"/>
      <c r="J13" s="42" t="s">
        <v>11</v>
      </c>
      <c r="K13" s="42"/>
    </row>
    <row r="14" spans="1:11">
      <c r="A14" s="42">
        <v>1</v>
      </c>
      <c r="B14" s="42">
        <v>2024</v>
      </c>
      <c r="C14" s="42"/>
      <c r="D14" s="50" t="s">
        <v>477</v>
      </c>
      <c r="E14" s="3">
        <f t="shared" ref="E14" si="10">+E13+7</f>
        <v>45382</v>
      </c>
      <c r="F14" s="53" t="s">
        <v>475</v>
      </c>
      <c r="G14" s="3"/>
      <c r="H14" s="260"/>
      <c r="I14" s="3"/>
      <c r="J14" s="42" t="s">
        <v>11</v>
      </c>
      <c r="K14" s="42"/>
    </row>
    <row r="15" spans="1:11">
      <c r="A15" s="42">
        <v>1</v>
      </c>
      <c r="B15" s="42">
        <v>2024</v>
      </c>
      <c r="C15" s="42">
        <v>13</v>
      </c>
      <c r="D15" s="50" t="s">
        <v>478</v>
      </c>
      <c r="E15" s="41">
        <f t="shared" ref="E15" si="11">+E14+7</f>
        <v>45389</v>
      </c>
      <c r="F15" s="52" t="s">
        <v>477</v>
      </c>
      <c r="G15" s="41" t="s">
        <v>479</v>
      </c>
      <c r="H15" s="260"/>
      <c r="I15" s="41"/>
      <c r="J15" s="42" t="s">
        <v>11</v>
      </c>
      <c r="K15" s="42"/>
    </row>
    <row r="16" spans="1:11">
      <c r="A16" s="42">
        <v>1</v>
      </c>
      <c r="B16" s="42">
        <v>2024</v>
      </c>
      <c r="C16" s="42">
        <v>14</v>
      </c>
      <c r="D16" s="50" t="s">
        <v>480</v>
      </c>
      <c r="E16" s="41">
        <f t="shared" ref="E16" si="12">+E15+7</f>
        <v>45396</v>
      </c>
      <c r="F16" s="52" t="s">
        <v>478</v>
      </c>
      <c r="G16" s="41" t="s">
        <v>481</v>
      </c>
      <c r="H16" s="258"/>
      <c r="I16" s="41" t="s">
        <v>482</v>
      </c>
      <c r="J16" s="42" t="s">
        <v>11</v>
      </c>
      <c r="K16" s="42"/>
    </row>
    <row r="17" spans="1:11">
      <c r="A17" s="42">
        <v>1</v>
      </c>
      <c r="B17" s="42">
        <v>2024</v>
      </c>
      <c r="C17" s="42">
        <v>15</v>
      </c>
      <c r="D17" s="50" t="s">
        <v>483</v>
      </c>
      <c r="E17" s="41">
        <f t="shared" ref="E17" si="13">+E16+7</f>
        <v>45403</v>
      </c>
      <c r="F17" s="52" t="s">
        <v>480</v>
      </c>
      <c r="G17" s="41" t="s">
        <v>484</v>
      </c>
      <c r="H17" s="257" t="s">
        <v>32</v>
      </c>
      <c r="I17" s="41"/>
      <c r="J17" s="42" t="s">
        <v>11</v>
      </c>
      <c r="K17" s="42"/>
    </row>
    <row r="18" spans="1:11">
      <c r="A18" s="42">
        <v>1</v>
      </c>
      <c r="B18" s="42">
        <v>2024</v>
      </c>
      <c r="C18" s="42">
        <v>16</v>
      </c>
      <c r="D18" s="50" t="s">
        <v>485</v>
      </c>
      <c r="E18" s="41">
        <f t="shared" ref="E18" si="14">+E17+7</f>
        <v>45410</v>
      </c>
      <c r="F18" s="52" t="s">
        <v>483</v>
      </c>
      <c r="G18" s="41" t="s">
        <v>486</v>
      </c>
      <c r="H18" s="260"/>
      <c r="I18" s="41" t="s">
        <v>487</v>
      </c>
      <c r="J18" s="42" t="s">
        <v>11</v>
      </c>
      <c r="K18" s="42"/>
    </row>
    <row r="19" spans="1:11">
      <c r="A19" s="42">
        <v>1</v>
      </c>
      <c r="B19" s="42">
        <v>2024</v>
      </c>
      <c r="C19" s="42">
        <v>17</v>
      </c>
      <c r="D19" s="50" t="s">
        <v>488</v>
      </c>
      <c r="E19" s="41">
        <f t="shared" ref="E19" si="15">+E18+7</f>
        <v>45417</v>
      </c>
      <c r="F19" s="52" t="s">
        <v>485</v>
      </c>
      <c r="G19" s="41" t="s">
        <v>489</v>
      </c>
      <c r="H19" s="260"/>
      <c r="I19" s="41" t="s">
        <v>490</v>
      </c>
      <c r="J19" s="42" t="s">
        <v>11</v>
      </c>
      <c r="K19" s="42"/>
    </row>
    <row r="20" spans="1:11">
      <c r="A20" s="42">
        <v>1</v>
      </c>
      <c r="B20" s="42">
        <v>2024</v>
      </c>
      <c r="C20" s="42">
        <v>18</v>
      </c>
      <c r="D20" s="50" t="s">
        <v>491</v>
      </c>
      <c r="E20" s="41">
        <f t="shared" ref="E20" si="16">+E19+7</f>
        <v>45424</v>
      </c>
      <c r="F20" s="52" t="s">
        <v>488</v>
      </c>
      <c r="G20" s="41" t="s">
        <v>492</v>
      </c>
      <c r="H20" s="258"/>
      <c r="I20" s="41" t="s">
        <v>493</v>
      </c>
      <c r="J20" s="42" t="s">
        <v>11</v>
      </c>
      <c r="K20" s="42"/>
    </row>
    <row r="21" spans="1:11">
      <c r="A21" s="42">
        <v>1</v>
      </c>
      <c r="B21" s="42">
        <v>2024</v>
      </c>
      <c r="C21" s="42">
        <v>19</v>
      </c>
      <c r="D21" s="50" t="s">
        <v>494</v>
      </c>
      <c r="E21" s="41">
        <f t="shared" ref="E21" si="17">+E20+7</f>
        <v>45431</v>
      </c>
      <c r="F21" s="52" t="s">
        <v>491</v>
      </c>
      <c r="G21" s="41" t="s">
        <v>495</v>
      </c>
      <c r="H21" s="257" t="s">
        <v>42</v>
      </c>
      <c r="I21" s="41"/>
      <c r="J21" s="42" t="s">
        <v>11</v>
      </c>
      <c r="K21" s="42"/>
    </row>
    <row r="22" spans="1:11">
      <c r="A22" s="42">
        <v>1</v>
      </c>
      <c r="B22" s="42">
        <v>2024</v>
      </c>
      <c r="C22" s="42">
        <v>20</v>
      </c>
      <c r="D22" s="50" t="s">
        <v>496</v>
      </c>
      <c r="E22" s="41">
        <f t="shared" ref="E22" si="18">+E21+7</f>
        <v>45438</v>
      </c>
      <c r="F22" s="52" t="s">
        <v>494</v>
      </c>
      <c r="G22" s="41" t="s">
        <v>497</v>
      </c>
      <c r="H22" s="260"/>
      <c r="I22" s="41"/>
      <c r="J22" s="42" t="s">
        <v>11</v>
      </c>
      <c r="K22" s="42"/>
    </row>
    <row r="23" spans="1:11">
      <c r="A23" s="42">
        <v>1</v>
      </c>
      <c r="B23" s="42">
        <v>2024</v>
      </c>
      <c r="C23" s="42">
        <v>21</v>
      </c>
      <c r="D23" s="50" t="s">
        <v>498</v>
      </c>
      <c r="E23" s="41">
        <f t="shared" ref="E23" si="19">+E22+7</f>
        <v>45445</v>
      </c>
      <c r="F23" s="52" t="s">
        <v>496</v>
      </c>
      <c r="G23" s="41" t="s">
        <v>499</v>
      </c>
      <c r="H23" s="260"/>
      <c r="I23" s="41"/>
      <c r="J23" s="42" t="s">
        <v>11</v>
      </c>
      <c r="K23" s="42"/>
    </row>
    <row r="24" spans="1:11">
      <c r="A24" s="42">
        <v>1</v>
      </c>
      <c r="B24" s="42">
        <v>2024</v>
      </c>
      <c r="C24" s="42">
        <v>22</v>
      </c>
      <c r="D24" s="50" t="s">
        <v>500</v>
      </c>
      <c r="E24" s="54">
        <f t="shared" ref="E24" si="20">+E23+7</f>
        <v>45452</v>
      </c>
      <c r="F24" s="52" t="s">
        <v>498</v>
      </c>
      <c r="G24" s="41" t="s">
        <v>501</v>
      </c>
      <c r="H24" s="258"/>
      <c r="I24" s="41" t="s">
        <v>502</v>
      </c>
      <c r="J24" s="42" t="s">
        <v>11</v>
      </c>
      <c r="K24" s="42"/>
    </row>
    <row r="25" spans="1:11">
      <c r="A25" s="42">
        <v>1</v>
      </c>
      <c r="B25" s="42">
        <v>2024</v>
      </c>
      <c r="C25" s="42">
        <v>23</v>
      </c>
      <c r="D25" s="42" t="s">
        <v>503</v>
      </c>
      <c r="E25" s="41">
        <f t="shared" ref="E25" si="21">+E24+7</f>
        <v>45459</v>
      </c>
      <c r="F25" s="41" t="s">
        <v>500</v>
      </c>
      <c r="G25" s="41" t="s">
        <v>504</v>
      </c>
      <c r="H25" s="257" t="s">
        <v>62</v>
      </c>
      <c r="I25" s="41" t="s">
        <v>505</v>
      </c>
      <c r="J25" s="42" t="s">
        <v>11</v>
      </c>
      <c r="K25" s="41" t="s">
        <v>506</v>
      </c>
    </row>
    <row r="26" spans="1:11">
      <c r="A26" s="42">
        <v>1</v>
      </c>
      <c r="B26" s="42">
        <v>2024</v>
      </c>
      <c r="C26" s="42">
        <v>24</v>
      </c>
      <c r="D26" s="42" t="s">
        <v>507</v>
      </c>
      <c r="E26" s="41">
        <f t="shared" ref="E26" si="22">+E25+7</f>
        <v>45466</v>
      </c>
      <c r="F26" s="54" t="s">
        <v>503</v>
      </c>
      <c r="G26" s="54" t="s">
        <v>508</v>
      </c>
      <c r="H26" s="260"/>
      <c r="I26" s="41"/>
      <c r="J26" s="42" t="s">
        <v>11</v>
      </c>
      <c r="K26" s="42"/>
    </row>
    <row r="27" spans="1:11">
      <c r="A27" s="42">
        <v>1</v>
      </c>
      <c r="B27" s="42">
        <v>2024</v>
      </c>
      <c r="C27" s="42">
        <v>25</v>
      </c>
      <c r="D27" s="42" t="s">
        <v>509</v>
      </c>
      <c r="E27" s="41">
        <f t="shared" ref="E27" si="23">+E26+7</f>
        <v>45473</v>
      </c>
      <c r="F27" s="41" t="s">
        <v>507</v>
      </c>
      <c r="G27" s="41" t="s">
        <v>510</v>
      </c>
      <c r="H27" s="260"/>
      <c r="I27" s="41" t="s">
        <v>511</v>
      </c>
      <c r="J27" s="42" t="s">
        <v>11</v>
      </c>
      <c r="K27" s="42"/>
    </row>
    <row r="28" spans="1:11">
      <c r="A28" s="42">
        <v>1</v>
      </c>
      <c r="B28" s="42">
        <v>2024</v>
      </c>
      <c r="C28" s="42">
        <v>26</v>
      </c>
      <c r="D28" s="42" t="s">
        <v>512</v>
      </c>
      <c r="E28" s="41">
        <f t="shared" ref="E28" si="24">+E27+7</f>
        <v>45480</v>
      </c>
      <c r="F28" s="41" t="s">
        <v>509</v>
      </c>
      <c r="G28" s="41" t="s">
        <v>513</v>
      </c>
      <c r="H28" s="260"/>
      <c r="I28" s="41" t="s">
        <v>514</v>
      </c>
      <c r="J28" s="42" t="s">
        <v>11</v>
      </c>
      <c r="K28" s="42"/>
    </row>
    <row r="29" spans="1:11">
      <c r="A29" s="42">
        <v>1</v>
      </c>
      <c r="B29" s="42">
        <v>2024</v>
      </c>
      <c r="C29" s="42">
        <v>27</v>
      </c>
      <c r="D29" s="42" t="s">
        <v>515</v>
      </c>
      <c r="E29" s="41">
        <f t="shared" ref="E29" si="25">+E28+7</f>
        <v>45487</v>
      </c>
      <c r="F29" s="41" t="s">
        <v>512</v>
      </c>
      <c r="G29" s="41" t="s">
        <v>513</v>
      </c>
      <c r="H29" s="260"/>
      <c r="I29" s="41" t="s">
        <v>516</v>
      </c>
      <c r="J29" s="42" t="s">
        <v>11</v>
      </c>
      <c r="K29" s="42"/>
    </row>
    <row r="30" spans="1:11">
      <c r="A30" s="42">
        <v>1</v>
      </c>
      <c r="B30" s="42">
        <v>2024</v>
      </c>
      <c r="C30" s="42">
        <v>28</v>
      </c>
      <c r="D30" s="42" t="s">
        <v>517</v>
      </c>
      <c r="E30" s="41">
        <f t="shared" ref="E30" si="26">+E29+7</f>
        <v>45494</v>
      </c>
      <c r="F30" s="41" t="s">
        <v>515</v>
      </c>
      <c r="G30" s="41" t="s">
        <v>79</v>
      </c>
      <c r="H30" s="258"/>
      <c r="I30" s="41"/>
      <c r="J30" s="42" t="s">
        <v>11</v>
      </c>
      <c r="K30" s="42"/>
    </row>
    <row r="31" spans="1:11">
      <c r="A31" s="42">
        <v>1</v>
      </c>
      <c r="B31" s="42">
        <v>2024</v>
      </c>
      <c r="C31" s="42">
        <v>29</v>
      </c>
      <c r="D31" s="42" t="s">
        <v>518</v>
      </c>
      <c r="E31" s="41">
        <f t="shared" ref="E31" si="27">+E30+7</f>
        <v>45501</v>
      </c>
      <c r="F31" s="41" t="s">
        <v>517</v>
      </c>
      <c r="G31" s="41" t="s">
        <v>519</v>
      </c>
      <c r="H31" s="257" t="s">
        <v>520</v>
      </c>
      <c r="I31" s="41" t="s">
        <v>521</v>
      </c>
      <c r="J31" s="42" t="s">
        <v>11</v>
      </c>
      <c r="K31" s="42"/>
    </row>
    <row r="32" spans="1:11">
      <c r="A32" s="42">
        <v>1</v>
      </c>
      <c r="B32" s="42">
        <v>2024</v>
      </c>
      <c r="C32" s="42">
        <v>30</v>
      </c>
      <c r="D32" s="42" t="s">
        <v>522</v>
      </c>
      <c r="E32" s="41">
        <f t="shared" ref="E32" si="28">+E31+7</f>
        <v>45508</v>
      </c>
      <c r="F32" s="41" t="s">
        <v>518</v>
      </c>
      <c r="G32" s="41" t="s">
        <v>519</v>
      </c>
      <c r="H32" s="260"/>
      <c r="I32" s="41" t="s">
        <v>523</v>
      </c>
      <c r="J32" s="42" t="s">
        <v>11</v>
      </c>
      <c r="K32" s="42"/>
    </row>
    <row r="33" spans="1:11">
      <c r="A33" s="42">
        <v>1</v>
      </c>
      <c r="B33" s="42">
        <v>2024</v>
      </c>
      <c r="C33" s="42">
        <v>31</v>
      </c>
      <c r="D33" s="42" t="s">
        <v>90</v>
      </c>
      <c r="E33" s="41">
        <f t="shared" ref="E33" si="29">+E32+7</f>
        <v>45515</v>
      </c>
      <c r="F33" s="41" t="s">
        <v>522</v>
      </c>
      <c r="G33" s="41" t="s">
        <v>524</v>
      </c>
      <c r="H33" s="258"/>
      <c r="I33" s="41" t="s">
        <v>525</v>
      </c>
      <c r="J33" s="42" t="s">
        <v>11</v>
      </c>
      <c r="K33" s="42"/>
    </row>
    <row r="34" spans="1:11">
      <c r="A34" s="42">
        <v>1</v>
      </c>
      <c r="B34" s="42">
        <v>2024</v>
      </c>
      <c r="C34" s="42">
        <v>32</v>
      </c>
      <c r="D34" s="42" t="s">
        <v>526</v>
      </c>
      <c r="E34" s="41">
        <f t="shared" ref="E34" si="30">+E33+7</f>
        <v>45522</v>
      </c>
      <c r="F34" s="41" t="s">
        <v>90</v>
      </c>
      <c r="G34" s="41" t="s">
        <v>527</v>
      </c>
      <c r="H34" s="257" t="s">
        <v>528</v>
      </c>
      <c r="I34" s="41"/>
      <c r="J34" s="42" t="s">
        <v>11</v>
      </c>
      <c r="K34" s="42" t="s">
        <v>529</v>
      </c>
    </row>
    <row r="35" spans="1:11">
      <c r="A35" s="42">
        <v>1</v>
      </c>
      <c r="B35" s="42">
        <v>2024</v>
      </c>
      <c r="C35" s="42">
        <v>33</v>
      </c>
      <c r="D35" s="42" t="s">
        <v>530</v>
      </c>
      <c r="E35" s="41">
        <f t="shared" ref="E35" si="31">+E34+7</f>
        <v>45529</v>
      </c>
      <c r="F35" s="41" t="s">
        <v>526</v>
      </c>
      <c r="G35" s="41" t="s">
        <v>94</v>
      </c>
      <c r="H35" s="260"/>
      <c r="I35" s="41" t="s">
        <v>531</v>
      </c>
      <c r="J35" s="42" t="s">
        <v>11</v>
      </c>
      <c r="K35" s="42" t="s">
        <v>529</v>
      </c>
    </row>
    <row r="36" spans="1:11">
      <c r="A36" s="42">
        <v>1</v>
      </c>
      <c r="B36" s="42">
        <v>2024</v>
      </c>
      <c r="C36" s="42">
        <v>34</v>
      </c>
      <c r="D36" s="42" t="s">
        <v>532</v>
      </c>
      <c r="E36" s="41">
        <f t="shared" ref="E36" si="32">+E35+7</f>
        <v>45536</v>
      </c>
      <c r="F36" s="41" t="s">
        <v>530</v>
      </c>
      <c r="G36" s="41" t="s">
        <v>98</v>
      </c>
      <c r="H36" s="258"/>
      <c r="I36" s="41" t="s">
        <v>533</v>
      </c>
      <c r="J36" s="42" t="s">
        <v>11</v>
      </c>
      <c r="K36" s="42"/>
    </row>
    <row r="37" spans="1:11">
      <c r="A37" s="42">
        <v>1</v>
      </c>
      <c r="B37" s="42">
        <v>2024</v>
      </c>
      <c r="C37" s="42">
        <v>35</v>
      </c>
      <c r="D37" s="42" t="s">
        <v>534</v>
      </c>
      <c r="E37" s="41">
        <f t="shared" ref="E37" si="33">+E36+7</f>
        <v>45543</v>
      </c>
      <c r="F37" s="41" t="s">
        <v>532</v>
      </c>
      <c r="G37" s="41" t="s">
        <v>102</v>
      </c>
      <c r="H37" s="257" t="s">
        <v>535</v>
      </c>
      <c r="I37" s="41" t="s">
        <v>536</v>
      </c>
      <c r="J37" s="42" t="s">
        <v>11</v>
      </c>
      <c r="K37" s="41" t="s">
        <v>537</v>
      </c>
    </row>
    <row r="38" spans="1:11">
      <c r="A38" s="42">
        <v>1</v>
      </c>
      <c r="B38" s="42">
        <v>2024</v>
      </c>
      <c r="C38" s="42">
        <v>36</v>
      </c>
      <c r="D38" s="42" t="s">
        <v>538</v>
      </c>
      <c r="E38" s="41">
        <f t="shared" ref="E38" si="34">+E37+7</f>
        <v>45550</v>
      </c>
      <c r="F38" s="41" t="s">
        <v>534</v>
      </c>
      <c r="G38" s="41" t="s">
        <v>105</v>
      </c>
      <c r="H38" s="258"/>
      <c r="I38" s="41"/>
      <c r="J38" s="42" t="s">
        <v>11</v>
      </c>
      <c r="K38" s="41" t="s">
        <v>539</v>
      </c>
    </row>
    <row r="39" spans="1:11">
      <c r="A39" s="42">
        <v>1</v>
      </c>
      <c r="B39" s="42">
        <v>2024</v>
      </c>
      <c r="C39" s="42">
        <v>37</v>
      </c>
      <c r="D39" s="42" t="s">
        <v>540</v>
      </c>
      <c r="E39" s="41">
        <f t="shared" ref="E39" si="35">+E38+7</f>
        <v>45557</v>
      </c>
      <c r="F39" s="41" t="s">
        <v>538</v>
      </c>
      <c r="G39" s="41" t="s">
        <v>541</v>
      </c>
      <c r="H39" s="257" t="s">
        <v>542</v>
      </c>
      <c r="I39" s="41" t="s">
        <v>543</v>
      </c>
      <c r="J39" s="42" t="s">
        <v>11</v>
      </c>
      <c r="K39" s="41" t="s">
        <v>537</v>
      </c>
    </row>
    <row r="40" spans="1:11">
      <c r="A40" s="42">
        <v>1</v>
      </c>
      <c r="B40" s="42">
        <v>2024</v>
      </c>
      <c r="C40" s="42">
        <v>38</v>
      </c>
      <c r="D40" s="42" t="s">
        <v>544</v>
      </c>
      <c r="E40" s="41">
        <f t="shared" ref="E40" si="36">+E39+7</f>
        <v>45564</v>
      </c>
      <c r="F40" s="41" t="s">
        <v>540</v>
      </c>
      <c r="G40" s="41" t="s">
        <v>115</v>
      </c>
      <c r="H40" s="260"/>
      <c r="I40" s="41" t="s">
        <v>545</v>
      </c>
      <c r="J40" s="42" t="s">
        <v>11</v>
      </c>
      <c r="K40" s="41" t="s">
        <v>537</v>
      </c>
    </row>
    <row r="41" spans="1:11">
      <c r="A41" s="42">
        <v>1</v>
      </c>
      <c r="B41" s="42">
        <v>2024</v>
      </c>
      <c r="C41" s="42">
        <v>39</v>
      </c>
      <c r="D41" s="42" t="s">
        <v>546</v>
      </c>
      <c r="E41" s="41">
        <f t="shared" ref="E41" si="37">+E40+7</f>
        <v>45571</v>
      </c>
      <c r="F41" s="41" t="s">
        <v>544</v>
      </c>
      <c r="G41" s="41" t="s">
        <v>118</v>
      </c>
      <c r="H41" s="260"/>
      <c r="I41" s="41" t="s">
        <v>547</v>
      </c>
      <c r="J41" s="42" t="s">
        <v>11</v>
      </c>
      <c r="K41" s="41" t="s">
        <v>431</v>
      </c>
    </row>
    <row r="42" spans="1:11">
      <c r="A42" s="42">
        <v>1</v>
      </c>
      <c r="B42" s="42">
        <v>2024</v>
      </c>
      <c r="C42" s="42">
        <v>40</v>
      </c>
      <c r="D42" s="42" t="s">
        <v>548</v>
      </c>
      <c r="E42" s="41">
        <f t="shared" ref="E42" si="38">+E41+7</f>
        <v>45578</v>
      </c>
      <c r="F42" s="41" t="s">
        <v>546</v>
      </c>
      <c r="G42" s="41" t="s">
        <v>121</v>
      </c>
      <c r="H42" s="258"/>
      <c r="I42" s="41" t="s">
        <v>549</v>
      </c>
      <c r="J42" s="42" t="s">
        <v>11</v>
      </c>
      <c r="K42" s="42"/>
    </row>
    <row r="43" spans="1:11">
      <c r="A43" s="42">
        <v>1</v>
      </c>
      <c r="B43" s="42">
        <v>2024</v>
      </c>
      <c r="C43" s="42">
        <v>41</v>
      </c>
      <c r="D43" s="42" t="s">
        <v>152</v>
      </c>
      <c r="E43" s="41">
        <f t="shared" ref="E43" si="39">+E42+7</f>
        <v>45585</v>
      </c>
      <c r="F43" s="41" t="s">
        <v>548</v>
      </c>
      <c r="G43" s="41" t="s">
        <v>150</v>
      </c>
      <c r="H43" s="257" t="s">
        <v>550</v>
      </c>
      <c r="I43" s="41"/>
      <c r="J43" s="42" t="s">
        <v>11</v>
      </c>
      <c r="K43" s="42"/>
    </row>
    <row r="44" spans="1:11">
      <c r="A44" s="42">
        <v>1</v>
      </c>
      <c r="B44" s="42">
        <v>2024</v>
      </c>
      <c r="C44" s="42">
        <v>42</v>
      </c>
      <c r="D44" s="42" t="s">
        <v>156</v>
      </c>
      <c r="E44" s="41">
        <f t="shared" ref="E44" si="40">+E43+7</f>
        <v>45592</v>
      </c>
      <c r="F44" s="41" t="s">
        <v>152</v>
      </c>
      <c r="G44" s="41" t="s">
        <v>153</v>
      </c>
      <c r="H44" s="258"/>
      <c r="I44" s="41" t="s">
        <v>551</v>
      </c>
      <c r="J44" s="42" t="s">
        <v>11</v>
      </c>
      <c r="K44" s="42"/>
    </row>
    <row r="45" spans="1:11" ht="15" customHeight="1">
      <c r="A45" s="42">
        <v>1</v>
      </c>
      <c r="B45" s="42">
        <v>2024</v>
      </c>
      <c r="C45" s="42">
        <v>43</v>
      </c>
      <c r="D45" s="42" t="s">
        <v>552</v>
      </c>
      <c r="E45" s="41">
        <f t="shared" ref="E45" si="41">+E44+7</f>
        <v>45599</v>
      </c>
      <c r="F45" s="41" t="s">
        <v>156</v>
      </c>
      <c r="G45" s="41" t="s">
        <v>157</v>
      </c>
      <c r="H45" s="257" t="s">
        <v>553</v>
      </c>
      <c r="I45" s="41"/>
      <c r="J45" s="42" t="s">
        <v>11</v>
      </c>
      <c r="K45" s="42"/>
    </row>
    <row r="46" spans="1:11">
      <c r="A46" s="42">
        <v>1</v>
      </c>
      <c r="B46" s="42">
        <v>2024</v>
      </c>
      <c r="C46" s="42">
        <v>44</v>
      </c>
      <c r="D46" s="42" t="s">
        <v>554</v>
      </c>
      <c r="E46" s="41">
        <f t="shared" ref="E46" si="42">+E45+7</f>
        <v>45606</v>
      </c>
      <c r="F46" s="41" t="s">
        <v>552</v>
      </c>
      <c r="G46" s="41" t="s">
        <v>160</v>
      </c>
      <c r="H46" s="258"/>
      <c r="I46" s="41"/>
      <c r="J46" s="42" t="s">
        <v>11</v>
      </c>
      <c r="K46" s="42"/>
    </row>
    <row r="47" spans="1:11">
      <c r="A47" s="42">
        <v>1</v>
      </c>
      <c r="B47" s="42">
        <v>2024</v>
      </c>
      <c r="C47" s="42">
        <v>45</v>
      </c>
      <c r="D47" s="42" t="s">
        <v>555</v>
      </c>
      <c r="E47" s="41">
        <f t="shared" ref="E47" si="43">+E46+7</f>
        <v>45613</v>
      </c>
      <c r="F47" s="41" t="s">
        <v>554</v>
      </c>
      <c r="G47" s="41" t="s">
        <v>556</v>
      </c>
      <c r="H47" s="276" t="s">
        <v>557</v>
      </c>
      <c r="I47" s="41"/>
      <c r="J47" s="42" t="s">
        <v>11</v>
      </c>
      <c r="K47" s="42"/>
    </row>
    <row r="48" spans="1:11">
      <c r="A48" s="42">
        <v>1</v>
      </c>
      <c r="B48" s="42">
        <v>2024</v>
      </c>
      <c r="C48" s="42">
        <v>46</v>
      </c>
      <c r="D48" s="42" t="s">
        <v>558</v>
      </c>
      <c r="E48" s="41">
        <f t="shared" ref="E48" si="44">+E47+7</f>
        <v>45620</v>
      </c>
      <c r="F48" s="41" t="s">
        <v>555</v>
      </c>
      <c r="G48" s="41" t="s">
        <v>559</v>
      </c>
      <c r="H48" s="277"/>
      <c r="I48" s="41"/>
      <c r="J48" s="42" t="s">
        <v>11</v>
      </c>
      <c r="K48" s="42"/>
    </row>
    <row r="49" spans="1:11">
      <c r="A49" s="42">
        <v>1</v>
      </c>
      <c r="B49" s="42">
        <v>2024</v>
      </c>
      <c r="C49" s="42">
        <v>47</v>
      </c>
      <c r="D49" s="42" t="s">
        <v>560</v>
      </c>
      <c r="E49" s="41">
        <f t="shared" ref="E49" si="45">+E48+7</f>
        <v>45627</v>
      </c>
      <c r="F49" s="41" t="s">
        <v>558</v>
      </c>
      <c r="G49" s="41" t="s">
        <v>561</v>
      </c>
      <c r="H49" s="261" t="s">
        <v>562</v>
      </c>
      <c r="I49" s="41" t="s">
        <v>563</v>
      </c>
      <c r="J49" s="42" t="s">
        <v>11</v>
      </c>
      <c r="K49" s="42"/>
    </row>
    <row r="50" spans="1:11">
      <c r="A50" s="42">
        <v>1</v>
      </c>
      <c r="B50" s="42">
        <v>2024</v>
      </c>
      <c r="C50" s="42">
        <v>48</v>
      </c>
      <c r="D50" s="41" t="s">
        <v>564</v>
      </c>
      <c r="E50" s="41">
        <f t="shared" ref="E50" si="46">+E49+7</f>
        <v>45634</v>
      </c>
      <c r="F50" s="41" t="s">
        <v>560</v>
      </c>
      <c r="G50" s="42" t="s">
        <v>565</v>
      </c>
      <c r="H50" s="261"/>
      <c r="I50" s="41" t="s">
        <v>566</v>
      </c>
      <c r="J50" s="42" t="s">
        <v>11</v>
      </c>
      <c r="K50" s="42"/>
    </row>
    <row r="51" spans="1:11">
      <c r="A51" s="42">
        <v>1</v>
      </c>
      <c r="B51" s="42">
        <v>2024</v>
      </c>
      <c r="C51" s="42">
        <v>49</v>
      </c>
      <c r="D51" s="41" t="s">
        <v>567</v>
      </c>
      <c r="E51" s="41">
        <f t="shared" ref="E51" si="47">+E50+7</f>
        <v>45641</v>
      </c>
      <c r="F51" s="41" t="s">
        <v>564</v>
      </c>
      <c r="G51" s="41" t="s">
        <v>568</v>
      </c>
      <c r="H51" s="41" t="s">
        <v>569</v>
      </c>
      <c r="I51" s="41" t="s">
        <v>570</v>
      </c>
      <c r="J51" s="42" t="s">
        <v>11</v>
      </c>
      <c r="K51" s="42"/>
    </row>
    <row r="52" spans="1:11">
      <c r="A52" s="42">
        <v>1</v>
      </c>
      <c r="B52" s="42">
        <v>2024</v>
      </c>
      <c r="C52" s="42"/>
      <c r="D52" s="42"/>
      <c r="E52" s="41">
        <f t="shared" ref="E52" si="48">+E51+7</f>
        <v>45648</v>
      </c>
      <c r="F52" s="3" t="s">
        <v>429</v>
      </c>
      <c r="G52" s="41"/>
      <c r="H52" s="41"/>
      <c r="I52" s="41"/>
      <c r="J52" s="42" t="s">
        <v>11</v>
      </c>
      <c r="K52" s="42"/>
    </row>
    <row r="53" spans="1:11">
      <c r="A53" s="42">
        <v>1</v>
      </c>
      <c r="B53" s="42">
        <v>2024</v>
      </c>
      <c r="C53" s="42"/>
      <c r="D53" s="42"/>
      <c r="E53" s="41">
        <f t="shared" ref="E53" si="49">+E52+7</f>
        <v>45655</v>
      </c>
      <c r="F53" s="3" t="s">
        <v>430</v>
      </c>
      <c r="G53" s="41"/>
      <c r="H53" s="41"/>
      <c r="I53" s="41"/>
      <c r="J53" s="42" t="s">
        <v>11</v>
      </c>
      <c r="K53" s="42"/>
    </row>
    <row r="54" spans="1:11">
      <c r="A54" s="42">
        <v>2</v>
      </c>
      <c r="B54" s="42">
        <v>2025</v>
      </c>
      <c r="C54" s="42">
        <v>50</v>
      </c>
      <c r="D54" s="42" t="s">
        <v>567</v>
      </c>
      <c r="E54" s="41">
        <f t="shared" ref="E54" si="50">+E53+7</f>
        <v>45662</v>
      </c>
      <c r="F54" s="41" t="s">
        <v>567</v>
      </c>
      <c r="G54" s="41"/>
      <c r="H54" s="257" t="s">
        <v>571</v>
      </c>
      <c r="I54" s="41"/>
      <c r="J54" s="42" t="s">
        <v>11</v>
      </c>
      <c r="K54" s="42"/>
    </row>
    <row r="55" spans="1:11">
      <c r="A55" s="42">
        <v>2</v>
      </c>
      <c r="B55" s="42">
        <v>2025</v>
      </c>
      <c r="C55" s="42">
        <v>51</v>
      </c>
      <c r="D55" s="41" t="s">
        <v>567</v>
      </c>
      <c r="E55" s="41">
        <f t="shared" ref="E55" si="51">+E54+7</f>
        <v>45669</v>
      </c>
      <c r="F55" s="41" t="s">
        <v>567</v>
      </c>
      <c r="G55" s="41"/>
      <c r="H55" s="260"/>
      <c r="I55" s="41"/>
      <c r="J55" s="42" t="s">
        <v>11</v>
      </c>
      <c r="K55" s="42"/>
    </row>
    <row r="56" spans="1:11">
      <c r="A56" s="42">
        <v>2</v>
      </c>
      <c r="B56" s="42">
        <v>2025</v>
      </c>
      <c r="C56" s="42">
        <v>52</v>
      </c>
      <c r="D56" s="42" t="s">
        <v>572</v>
      </c>
      <c r="E56" s="41">
        <f t="shared" ref="E56" si="52">+E55+7</f>
        <v>45676</v>
      </c>
      <c r="F56" s="41" t="s">
        <v>567</v>
      </c>
      <c r="G56" s="41"/>
      <c r="H56" s="260"/>
      <c r="I56" s="41"/>
      <c r="J56" s="42" t="s">
        <v>11</v>
      </c>
      <c r="K56" s="42"/>
    </row>
    <row r="57" spans="1:11">
      <c r="A57" s="42">
        <v>2</v>
      </c>
      <c r="B57" s="42">
        <v>2025</v>
      </c>
      <c r="C57" s="42">
        <v>53</v>
      </c>
      <c r="D57" s="42" t="s">
        <v>188</v>
      </c>
      <c r="E57" s="41">
        <f t="shared" ref="E57" si="53">+E56+7</f>
        <v>45683</v>
      </c>
      <c r="F57" s="41" t="s">
        <v>188</v>
      </c>
      <c r="G57" s="41"/>
      <c r="H57" s="260"/>
      <c r="I57" s="41"/>
      <c r="J57" s="42" t="s">
        <v>11</v>
      </c>
      <c r="K57" s="42"/>
    </row>
    <row r="58" spans="1:11">
      <c r="A58" s="42">
        <v>2</v>
      </c>
      <c r="B58" s="42">
        <v>2025</v>
      </c>
      <c r="C58" s="42">
        <v>54</v>
      </c>
      <c r="D58" s="42" t="s">
        <v>188</v>
      </c>
      <c r="E58" s="41">
        <f t="shared" ref="E58" si="54">+E57+7</f>
        <v>45690</v>
      </c>
      <c r="F58" s="41" t="s">
        <v>188</v>
      </c>
      <c r="G58" s="41"/>
      <c r="H58" s="260"/>
      <c r="I58" s="41"/>
      <c r="J58" s="42" t="s">
        <v>11</v>
      </c>
      <c r="K58" s="42"/>
    </row>
    <row r="59" spans="1:11">
      <c r="A59" s="42">
        <v>2</v>
      </c>
      <c r="B59" s="42">
        <v>2025</v>
      </c>
      <c r="C59" s="42">
        <v>55</v>
      </c>
      <c r="D59" s="42" t="s">
        <v>188</v>
      </c>
      <c r="E59" s="41">
        <f t="shared" ref="E59" si="55">+E58+7</f>
        <v>45697</v>
      </c>
      <c r="F59" s="41" t="s">
        <v>188</v>
      </c>
      <c r="G59" s="41"/>
      <c r="H59" s="260"/>
      <c r="I59" s="41"/>
      <c r="J59" s="42" t="s">
        <v>11</v>
      </c>
      <c r="K59" s="42"/>
    </row>
    <row r="60" spans="1:11">
      <c r="A60" s="42">
        <v>2</v>
      </c>
      <c r="B60" s="42">
        <v>2025</v>
      </c>
      <c r="C60" s="42">
        <v>56</v>
      </c>
      <c r="D60" s="42" t="s">
        <v>188</v>
      </c>
      <c r="E60" s="41">
        <f t="shared" ref="E60" si="56">+E59+7</f>
        <v>45704</v>
      </c>
      <c r="F60" s="41" t="s">
        <v>188</v>
      </c>
      <c r="G60" s="41"/>
      <c r="H60" s="260"/>
      <c r="I60" s="41"/>
      <c r="J60" s="42" t="s">
        <v>11</v>
      </c>
      <c r="K60" s="42"/>
    </row>
    <row r="61" spans="1:11">
      <c r="A61" s="42">
        <v>2</v>
      </c>
      <c r="B61" s="42">
        <v>2025</v>
      </c>
      <c r="C61" s="42">
        <v>57</v>
      </c>
      <c r="D61" s="41" t="str">
        <f>+F63</f>
        <v>Reino dividido - parte 2 (de Jeroboão a Baasa)</v>
      </c>
      <c r="E61" s="41">
        <f t="shared" ref="E61" si="57">+E60+7</f>
        <v>45711</v>
      </c>
      <c r="F61" s="41" t="s">
        <v>572</v>
      </c>
      <c r="G61" s="41" t="s">
        <v>573</v>
      </c>
      <c r="H61" s="258"/>
      <c r="I61" s="41"/>
      <c r="J61" s="42" t="s">
        <v>11</v>
      </c>
      <c r="K61" s="42"/>
    </row>
    <row r="62" spans="1:11">
      <c r="A62" s="42">
        <v>2</v>
      </c>
      <c r="B62" s="42">
        <v>2025</v>
      </c>
      <c r="C62" s="42"/>
      <c r="D62" s="42" t="s">
        <v>574</v>
      </c>
      <c r="E62" s="41">
        <f t="shared" ref="E62" si="58">+E61+7</f>
        <v>45718</v>
      </c>
      <c r="F62" s="3" t="s">
        <v>575</v>
      </c>
      <c r="G62" s="41"/>
      <c r="H62" s="41"/>
      <c r="I62" s="41"/>
      <c r="J62" s="42" t="s">
        <v>11</v>
      </c>
      <c r="K62" s="42"/>
    </row>
    <row r="63" spans="1:11">
      <c r="A63" s="42">
        <v>2</v>
      </c>
      <c r="B63" s="42">
        <v>2025</v>
      </c>
      <c r="C63" s="42">
        <v>58</v>
      </c>
      <c r="D63" s="42" t="str">
        <f>F64</f>
        <v>Elias e a viúva</v>
      </c>
      <c r="E63" s="41">
        <f t="shared" ref="E63" si="59">+E62+7</f>
        <v>45725</v>
      </c>
      <c r="F63" s="41" t="s">
        <v>576</v>
      </c>
      <c r="G63" s="41" t="s">
        <v>577</v>
      </c>
      <c r="H63" s="41" t="s">
        <v>569</v>
      </c>
      <c r="I63" s="42" t="s">
        <v>578</v>
      </c>
      <c r="J63" s="42" t="s">
        <v>11</v>
      </c>
      <c r="K63" s="42"/>
    </row>
    <row r="64" spans="1:11">
      <c r="A64" s="42">
        <v>2</v>
      </c>
      <c r="B64" s="42">
        <v>2025</v>
      </c>
      <c r="C64" s="42">
        <v>59</v>
      </c>
      <c r="D64" s="42" t="str">
        <f t="shared" ref="D64:D102" si="60">F65</f>
        <v>Elias no Monte Carmelo</v>
      </c>
      <c r="E64" s="41">
        <f t="shared" ref="E64" si="61">+E63+7</f>
        <v>45732</v>
      </c>
      <c r="F64" s="42" t="s">
        <v>196</v>
      </c>
      <c r="G64" s="42" t="s">
        <v>197</v>
      </c>
      <c r="H64" s="257" t="s">
        <v>195</v>
      </c>
      <c r="I64" s="42" t="s">
        <v>578</v>
      </c>
      <c r="J64" s="42" t="s">
        <v>11</v>
      </c>
      <c r="K64" s="42"/>
    </row>
    <row r="65" spans="1:11">
      <c r="A65" s="42">
        <v>2</v>
      </c>
      <c r="B65" s="42">
        <v>2025</v>
      </c>
      <c r="C65" s="42">
        <v>60</v>
      </c>
      <c r="D65" s="42" t="str">
        <f t="shared" si="60"/>
        <v>Eliseu é sucessor de Elias</v>
      </c>
      <c r="E65" s="41">
        <f t="shared" ref="E65" si="62">+E64+7</f>
        <v>45739</v>
      </c>
      <c r="F65" s="42" t="s">
        <v>199</v>
      </c>
      <c r="G65" s="42" t="s">
        <v>200</v>
      </c>
      <c r="H65" s="260"/>
      <c r="I65" s="42" t="s">
        <v>578</v>
      </c>
      <c r="J65" s="42" t="s">
        <v>11</v>
      </c>
      <c r="K65" s="42"/>
    </row>
    <row r="66" spans="1:11">
      <c r="A66" s="42">
        <v>2</v>
      </c>
      <c r="B66" s="42">
        <v>2025</v>
      </c>
      <c r="C66" s="42">
        <v>61</v>
      </c>
      <c r="D66" s="42" t="str">
        <f t="shared" si="60"/>
        <v>O ministério de Eliseu</v>
      </c>
      <c r="E66" s="41">
        <f t="shared" ref="E66" si="63">+E65+7</f>
        <v>45746</v>
      </c>
      <c r="F66" s="42" t="s">
        <v>202</v>
      </c>
      <c r="G66" s="42" t="s">
        <v>203</v>
      </c>
      <c r="H66" s="260"/>
      <c r="I66" s="42" t="s">
        <v>578</v>
      </c>
      <c r="J66" s="42" t="s">
        <v>11</v>
      </c>
      <c r="K66" s="42"/>
    </row>
    <row r="67" spans="1:11">
      <c r="A67" s="42">
        <v>2</v>
      </c>
      <c r="B67" s="42">
        <v>2025</v>
      </c>
      <c r="C67" s="42">
        <v>62</v>
      </c>
      <c r="D67" s="42" t="str">
        <f t="shared" si="60"/>
        <v>Amós</v>
      </c>
      <c r="E67" s="41">
        <f t="shared" ref="E67" si="64">+E66+7</f>
        <v>45753</v>
      </c>
      <c r="F67" s="42" t="s">
        <v>205</v>
      </c>
      <c r="G67" s="42" t="s">
        <v>579</v>
      </c>
      <c r="H67" s="258"/>
      <c r="I67" s="42" t="s">
        <v>578</v>
      </c>
      <c r="J67" s="42" t="s">
        <v>11</v>
      </c>
      <c r="K67" s="42"/>
    </row>
    <row r="68" spans="1:11" ht="15" customHeight="1">
      <c r="A68" s="42">
        <v>2</v>
      </c>
      <c r="B68" s="42">
        <v>2025</v>
      </c>
      <c r="C68" s="42">
        <v>63</v>
      </c>
      <c r="D68" s="42" t="str">
        <f t="shared" si="60"/>
        <v>Jonas</v>
      </c>
      <c r="E68" s="41">
        <f t="shared" ref="E68" si="65">+E67+7</f>
        <v>45760</v>
      </c>
      <c r="F68" s="42" t="s">
        <v>580</v>
      </c>
      <c r="G68" s="42" t="s">
        <v>580</v>
      </c>
      <c r="H68" s="261" t="s">
        <v>581</v>
      </c>
      <c r="I68" s="43" t="s">
        <v>249</v>
      </c>
      <c r="J68" s="42" t="s">
        <v>11</v>
      </c>
      <c r="K68" s="42"/>
    </row>
    <row r="69" spans="1:11">
      <c r="A69" s="42">
        <v>2</v>
      </c>
      <c r="B69" s="42">
        <v>2025</v>
      </c>
      <c r="C69" s="42">
        <v>64</v>
      </c>
      <c r="D69" s="42" t="str">
        <f t="shared" si="60"/>
        <v>Oseias</v>
      </c>
      <c r="E69" s="41">
        <f t="shared" ref="E69" si="66">+E68+7</f>
        <v>45767</v>
      </c>
      <c r="F69" s="42" t="s">
        <v>210</v>
      </c>
      <c r="G69" s="42" t="s">
        <v>210</v>
      </c>
      <c r="H69" s="261"/>
      <c r="I69" s="44" t="s">
        <v>578</v>
      </c>
      <c r="J69" s="42" t="s">
        <v>11</v>
      </c>
      <c r="K69" s="42"/>
    </row>
    <row r="70" spans="1:11">
      <c r="A70" s="42">
        <v>2</v>
      </c>
      <c r="B70" s="42">
        <v>2025</v>
      </c>
      <c r="C70" s="42">
        <v>65</v>
      </c>
      <c r="D70" s="42" t="str">
        <f t="shared" si="60"/>
        <v>Miqueias</v>
      </c>
      <c r="E70" s="41">
        <f t="shared" ref="E70" si="67">+E69+7</f>
        <v>45774</v>
      </c>
      <c r="F70" s="42" t="s">
        <v>582</v>
      </c>
      <c r="G70" s="42" t="s">
        <v>582</v>
      </c>
      <c r="H70" s="261"/>
      <c r="I70" s="44"/>
      <c r="J70" s="42" t="s">
        <v>11</v>
      </c>
      <c r="K70" s="42"/>
    </row>
    <row r="71" spans="1:11">
      <c r="A71" s="42">
        <v>2</v>
      </c>
      <c r="B71" s="42">
        <v>2025</v>
      </c>
      <c r="C71" s="42">
        <v>66</v>
      </c>
      <c r="D71" s="42" t="str">
        <f t="shared" si="60"/>
        <v>O chamado de Isaias</v>
      </c>
      <c r="E71" s="41">
        <f t="shared" ref="E71" si="68">+E70+7</f>
        <v>45781</v>
      </c>
      <c r="F71" s="42" t="s">
        <v>583</v>
      </c>
      <c r="G71" s="42" t="s">
        <v>583</v>
      </c>
      <c r="H71" s="261"/>
      <c r="I71" s="44" t="s">
        <v>578</v>
      </c>
      <c r="J71" s="42" t="s">
        <v>11</v>
      </c>
      <c r="K71" s="42"/>
    </row>
    <row r="72" spans="1:11">
      <c r="A72" s="42">
        <v>2</v>
      </c>
      <c r="B72" s="42">
        <v>2025</v>
      </c>
      <c r="C72" s="42">
        <v>67</v>
      </c>
      <c r="D72" s="42" t="str">
        <f t="shared" si="60"/>
        <v>A mensagem de Isaias</v>
      </c>
      <c r="E72" s="41">
        <f t="shared" ref="E72" si="69">+E71+7</f>
        <v>45788</v>
      </c>
      <c r="F72" s="42" t="s">
        <v>584</v>
      </c>
      <c r="G72" s="42" t="s">
        <v>585</v>
      </c>
      <c r="H72" s="261"/>
      <c r="J72" s="42" t="s">
        <v>11</v>
      </c>
      <c r="K72" s="42"/>
    </row>
    <row r="73" spans="1:11">
      <c r="A73" s="42">
        <v>2</v>
      </c>
      <c r="B73" s="42">
        <v>2025</v>
      </c>
      <c r="C73" s="42">
        <v>68</v>
      </c>
      <c r="D73" s="42" t="str">
        <f t="shared" si="60"/>
        <v>Jeroboão II</v>
      </c>
      <c r="E73" s="41">
        <f t="shared" ref="E73" si="70">+E72+7</f>
        <v>45795</v>
      </c>
      <c r="F73" s="42" t="s">
        <v>586</v>
      </c>
      <c r="G73" s="42" t="s">
        <v>585</v>
      </c>
      <c r="H73" s="261"/>
      <c r="I73" s="44"/>
      <c r="J73" s="42" t="s">
        <v>11</v>
      </c>
      <c r="K73" s="42"/>
    </row>
    <row r="74" spans="1:11">
      <c r="A74" s="42">
        <v>2</v>
      </c>
      <c r="B74" s="42">
        <v>2025</v>
      </c>
      <c r="C74" s="42">
        <v>69</v>
      </c>
      <c r="D74" s="42" t="str">
        <f t="shared" si="60"/>
        <v>De Roboão a Acaz</v>
      </c>
      <c r="E74" s="41">
        <f t="shared" ref="E74" si="71">+E73+7</f>
        <v>45802</v>
      </c>
      <c r="F74" s="42" t="s">
        <v>587</v>
      </c>
      <c r="G74" s="42" t="s">
        <v>588</v>
      </c>
      <c r="H74" s="266" t="s">
        <v>589</v>
      </c>
      <c r="I74" s="42"/>
      <c r="J74" s="42" t="s">
        <v>11</v>
      </c>
      <c r="K74" s="42"/>
    </row>
    <row r="75" spans="1:11">
      <c r="A75" s="42">
        <v>2</v>
      </c>
      <c r="B75" s="42">
        <v>2025</v>
      </c>
      <c r="C75" s="42">
        <v>70</v>
      </c>
      <c r="D75" s="42" t="str">
        <f t="shared" si="60"/>
        <v>Ezequias</v>
      </c>
      <c r="E75" s="41">
        <f t="shared" ref="E75" si="72">+E74+7</f>
        <v>45809</v>
      </c>
      <c r="F75" s="41" t="s">
        <v>590</v>
      </c>
      <c r="G75" s="42" t="s">
        <v>591</v>
      </c>
      <c r="H75" s="267"/>
      <c r="I75" s="42" t="s">
        <v>592</v>
      </c>
      <c r="J75" s="42" t="s">
        <v>11</v>
      </c>
      <c r="K75" s="42"/>
    </row>
    <row r="76" spans="1:11">
      <c r="A76" s="42">
        <v>2</v>
      </c>
      <c r="B76" s="42">
        <v>2025</v>
      </c>
      <c r="C76" s="42">
        <v>71</v>
      </c>
      <c r="D76" s="42" t="str">
        <f t="shared" si="60"/>
        <v>Josias - Reforma do templo</v>
      </c>
      <c r="E76" s="41">
        <f t="shared" ref="E76" si="73">+E75+7</f>
        <v>45816</v>
      </c>
      <c r="F76" s="41" t="s">
        <v>593</v>
      </c>
      <c r="G76" s="41" t="s">
        <v>594</v>
      </c>
      <c r="H76" s="267"/>
      <c r="I76" s="42" t="s">
        <v>592</v>
      </c>
      <c r="J76" s="42" t="s">
        <v>11</v>
      </c>
      <c r="K76" s="42"/>
    </row>
    <row r="77" spans="1:11">
      <c r="A77" s="42">
        <v>2</v>
      </c>
      <c r="B77" s="42">
        <v>2025</v>
      </c>
      <c r="C77" s="42">
        <v>72</v>
      </c>
      <c r="D77" s="42" t="str">
        <f t="shared" si="60"/>
        <v>O cativeiro Assírio</v>
      </c>
      <c r="E77" s="41">
        <f t="shared" ref="E77" si="74">+E76+7</f>
        <v>45823</v>
      </c>
      <c r="F77" s="41" t="s">
        <v>595</v>
      </c>
      <c r="G77" s="41" t="s">
        <v>226</v>
      </c>
      <c r="H77" s="267"/>
      <c r="I77" s="42" t="s">
        <v>592</v>
      </c>
      <c r="J77" s="42" t="s">
        <v>11</v>
      </c>
      <c r="K77" s="42"/>
    </row>
    <row r="78" spans="1:11">
      <c r="A78" s="42">
        <v>2</v>
      </c>
      <c r="B78" s="42">
        <v>2025</v>
      </c>
      <c r="C78" s="42">
        <v>73</v>
      </c>
      <c r="D78" s="42" t="str">
        <f t="shared" si="60"/>
        <v>Naum</v>
      </c>
      <c r="E78" s="41">
        <f t="shared" ref="E78" si="75">+E77+7</f>
        <v>45830</v>
      </c>
      <c r="F78" s="42" t="s">
        <v>596</v>
      </c>
      <c r="G78" s="42" t="s">
        <v>213</v>
      </c>
      <c r="H78" s="267"/>
      <c r="I78" s="42" t="s">
        <v>212</v>
      </c>
      <c r="J78" s="42" t="s">
        <v>11</v>
      </c>
      <c r="K78" s="42"/>
    </row>
    <row r="79" spans="1:11">
      <c r="A79" s="42">
        <v>2</v>
      </c>
      <c r="B79" s="42">
        <v>2025</v>
      </c>
      <c r="C79" s="42">
        <v>74</v>
      </c>
      <c r="D79" s="42" t="str">
        <f t="shared" si="60"/>
        <v>Sofonias</v>
      </c>
      <c r="E79" s="41">
        <f t="shared" ref="E79" si="76">+E78+7</f>
        <v>45837</v>
      </c>
      <c r="F79" s="41" t="s">
        <v>597</v>
      </c>
      <c r="G79" s="41" t="s">
        <v>597</v>
      </c>
      <c r="H79" s="267"/>
      <c r="J79" s="42" t="s">
        <v>11</v>
      </c>
      <c r="K79" s="42"/>
    </row>
    <row r="80" spans="1:11">
      <c r="A80" s="42">
        <v>2</v>
      </c>
      <c r="B80" s="42">
        <v>2025</v>
      </c>
      <c r="C80" s="42">
        <v>75</v>
      </c>
      <c r="D80" s="42" t="str">
        <f t="shared" si="60"/>
        <v xml:space="preserve"> Jeremias, Profeta de Judá</v>
      </c>
      <c r="E80" s="41">
        <f t="shared" ref="E80" si="77">+E79+7</f>
        <v>45844</v>
      </c>
      <c r="F80" s="41" t="s">
        <v>598</v>
      </c>
      <c r="G80" s="41" t="s">
        <v>598</v>
      </c>
      <c r="H80" s="267"/>
      <c r="I80" s="42"/>
      <c r="J80" s="42" t="s">
        <v>11</v>
      </c>
      <c r="K80" s="42"/>
    </row>
    <row r="81" spans="1:11">
      <c r="A81" s="42">
        <v>2</v>
      </c>
      <c r="B81" s="42">
        <v>2025</v>
      </c>
      <c r="C81" s="42">
        <v>76</v>
      </c>
      <c r="D81" s="42" t="str">
        <f t="shared" si="60"/>
        <v xml:space="preserve"> Jeremias, Profeta de Judá</v>
      </c>
      <c r="E81" s="41">
        <f t="shared" ref="E81" si="78">+E80+7</f>
        <v>45851</v>
      </c>
      <c r="F81" s="41" t="s">
        <v>599</v>
      </c>
      <c r="G81" s="41" t="s">
        <v>231</v>
      </c>
      <c r="H81" s="267"/>
      <c r="I81" s="41" t="s">
        <v>230</v>
      </c>
      <c r="J81" s="42" t="s">
        <v>11</v>
      </c>
      <c r="K81" s="42"/>
    </row>
    <row r="82" spans="1:11">
      <c r="A82" s="42">
        <v>2</v>
      </c>
      <c r="B82" s="42">
        <v>2025</v>
      </c>
      <c r="C82" s="42">
        <v>77</v>
      </c>
      <c r="D82" s="42" t="str">
        <f t="shared" si="60"/>
        <v>Habacuque</v>
      </c>
      <c r="E82" s="41">
        <f t="shared" ref="E82" si="79">+E81+7</f>
        <v>45858</v>
      </c>
      <c r="F82" s="41" t="s">
        <v>599</v>
      </c>
      <c r="G82" s="41" t="s">
        <v>231</v>
      </c>
      <c r="H82" s="267"/>
      <c r="I82" s="41" t="s">
        <v>230</v>
      </c>
      <c r="J82" s="42" t="s">
        <v>11</v>
      </c>
      <c r="K82" s="42"/>
    </row>
    <row r="83" spans="1:11">
      <c r="A83" s="42">
        <v>2</v>
      </c>
      <c r="B83" s="42">
        <v>2025</v>
      </c>
      <c r="C83" s="42">
        <v>78</v>
      </c>
      <c r="D83" s="42" t="str">
        <f t="shared" si="60"/>
        <v>Judá é feito cativo</v>
      </c>
      <c r="E83" s="41">
        <f t="shared" ref="E83" si="80">+E82+7</f>
        <v>45865</v>
      </c>
      <c r="F83" s="42" t="s">
        <v>600</v>
      </c>
      <c r="G83" s="42" t="s">
        <v>600</v>
      </c>
      <c r="H83" s="267"/>
      <c r="I83" s="42"/>
      <c r="J83" s="42" t="s">
        <v>11</v>
      </c>
      <c r="K83" s="42"/>
    </row>
    <row r="84" spans="1:11">
      <c r="A84" s="42">
        <v>2</v>
      </c>
      <c r="B84" s="42">
        <v>2025</v>
      </c>
      <c r="C84" s="42">
        <v>79</v>
      </c>
      <c r="D84" s="42" t="str">
        <f t="shared" si="60"/>
        <v>Ezequiel</v>
      </c>
      <c r="E84" s="41">
        <f t="shared" ref="E84" si="81">+E83+7</f>
        <v>45872</v>
      </c>
      <c r="F84" s="41" t="s">
        <v>601</v>
      </c>
      <c r="G84" s="41" t="s">
        <v>234</v>
      </c>
      <c r="H84" s="267"/>
      <c r="I84" s="42"/>
      <c r="J84" s="42" t="s">
        <v>11</v>
      </c>
      <c r="K84" s="42"/>
    </row>
    <row r="85" spans="1:11">
      <c r="A85" s="42">
        <v>2</v>
      </c>
      <c r="B85" s="42">
        <v>2025</v>
      </c>
      <c r="C85" s="42">
        <v>80</v>
      </c>
      <c r="D85" s="42" t="str">
        <f t="shared" si="60"/>
        <v>A visão dos ossos secos</v>
      </c>
      <c r="E85" s="41">
        <f t="shared" ref="E85" si="82">+E84+7</f>
        <v>45879</v>
      </c>
      <c r="F85" s="42" t="s">
        <v>602</v>
      </c>
      <c r="G85" s="42" t="s">
        <v>602</v>
      </c>
      <c r="H85" s="267"/>
      <c r="I85" s="41" t="s">
        <v>233</v>
      </c>
      <c r="J85" s="42" t="s">
        <v>11</v>
      </c>
      <c r="K85" s="42"/>
    </row>
    <row r="86" spans="1:11">
      <c r="A86" s="42">
        <v>2</v>
      </c>
      <c r="B86" s="42">
        <v>2025</v>
      </c>
      <c r="C86" s="42">
        <v>81</v>
      </c>
      <c r="D86" s="42" t="str">
        <f t="shared" si="60"/>
        <v>Obadias</v>
      </c>
      <c r="E86" s="41">
        <f t="shared" ref="E86" si="83">+E85+7</f>
        <v>45886</v>
      </c>
      <c r="F86" s="41" t="s">
        <v>236</v>
      </c>
      <c r="G86" s="41" t="s">
        <v>237</v>
      </c>
      <c r="H86" s="268"/>
      <c r="I86" s="42"/>
      <c r="J86" s="42" t="s">
        <v>11</v>
      </c>
      <c r="K86" s="42"/>
    </row>
    <row r="87" spans="1:11">
      <c r="A87" s="42">
        <v>2</v>
      </c>
      <c r="B87" s="42">
        <v>2025</v>
      </c>
      <c r="C87" s="42">
        <v>82</v>
      </c>
      <c r="D87" s="42" t="str">
        <f t="shared" si="60"/>
        <v>A fornalha ardente</v>
      </c>
      <c r="E87" s="41">
        <f t="shared" ref="E87" si="84">+E86+7</f>
        <v>45893</v>
      </c>
      <c r="F87" s="45" t="s">
        <v>250</v>
      </c>
      <c r="G87" s="45" t="s">
        <v>250</v>
      </c>
      <c r="H87" s="257" t="s">
        <v>603</v>
      </c>
      <c r="I87" s="41"/>
      <c r="J87" s="42" t="s">
        <v>11</v>
      </c>
      <c r="K87" s="42"/>
    </row>
    <row r="88" spans="1:11">
      <c r="A88" s="42">
        <v>2</v>
      </c>
      <c r="B88" s="42">
        <v>2025</v>
      </c>
      <c r="C88" s="42">
        <v>83</v>
      </c>
      <c r="D88" s="42" t="str">
        <f t="shared" si="60"/>
        <v>O sonho de Nabucodonosor</v>
      </c>
      <c r="E88" s="41">
        <f t="shared" ref="E88" si="85">+E87+7</f>
        <v>45900</v>
      </c>
      <c r="F88" s="41" t="s">
        <v>604</v>
      </c>
      <c r="G88" s="41" t="s">
        <v>605</v>
      </c>
      <c r="H88" s="260"/>
      <c r="I88" s="41" t="s">
        <v>240</v>
      </c>
      <c r="J88" s="42" t="s">
        <v>11</v>
      </c>
      <c r="K88" s="42"/>
    </row>
    <row r="89" spans="1:11">
      <c r="A89" s="42">
        <v>2</v>
      </c>
      <c r="B89" s="42">
        <v>2025</v>
      </c>
      <c r="C89" s="42">
        <v>84</v>
      </c>
      <c r="D89" s="42" t="str">
        <f t="shared" si="60"/>
        <v>Daniel na cova dos leões</v>
      </c>
      <c r="E89" s="41">
        <f t="shared" ref="E89" si="86">+E88+7</f>
        <v>45907</v>
      </c>
      <c r="F89" s="46" t="s">
        <v>606</v>
      </c>
      <c r="G89" s="41" t="s">
        <v>607</v>
      </c>
      <c r="H89" s="260"/>
      <c r="I89" s="41" t="s">
        <v>608</v>
      </c>
      <c r="J89" s="42" t="s">
        <v>11</v>
      </c>
      <c r="K89" s="42"/>
    </row>
    <row r="90" spans="1:11">
      <c r="A90" s="42">
        <v>2</v>
      </c>
      <c r="B90" s="42">
        <v>2025</v>
      </c>
      <c r="C90" s="42">
        <v>85</v>
      </c>
      <c r="D90" s="42" t="str">
        <f t="shared" si="60"/>
        <v>A visão de Daniel</v>
      </c>
      <c r="E90" s="41">
        <f t="shared" ref="E90" si="87">+E89+7</f>
        <v>45914</v>
      </c>
      <c r="F90" s="41" t="s">
        <v>609</v>
      </c>
      <c r="G90" s="41" t="s">
        <v>610</v>
      </c>
      <c r="H90" s="260"/>
      <c r="I90" s="41" t="s">
        <v>611</v>
      </c>
      <c r="J90" s="42" t="s">
        <v>11</v>
      </c>
      <c r="K90" s="42"/>
    </row>
    <row r="91" spans="1:11">
      <c r="A91" s="42">
        <v>2</v>
      </c>
      <c r="B91" s="42">
        <v>2025</v>
      </c>
      <c r="C91" s="42">
        <v>86</v>
      </c>
      <c r="D91" s="42" t="str">
        <f t="shared" si="60"/>
        <v>O Retorno dos Exilados</v>
      </c>
      <c r="E91" s="41">
        <f t="shared" ref="E91" si="88">+E90+7</f>
        <v>45921</v>
      </c>
      <c r="F91" s="41" t="s">
        <v>612</v>
      </c>
      <c r="G91" s="41" t="s">
        <v>247</v>
      </c>
      <c r="H91" s="258"/>
      <c r="I91" s="41"/>
      <c r="J91" s="42" t="s">
        <v>11</v>
      </c>
      <c r="K91" s="42"/>
    </row>
    <row r="92" spans="1:11">
      <c r="A92" s="42">
        <v>2</v>
      </c>
      <c r="B92" s="42">
        <v>2025</v>
      </c>
      <c r="C92" s="42">
        <v>87</v>
      </c>
      <c r="D92" s="42" t="str">
        <f t="shared" si="60"/>
        <v>A reconstrução do templo</v>
      </c>
      <c r="E92" s="41">
        <f t="shared" ref="E92" si="89">+E91+7</f>
        <v>45928</v>
      </c>
      <c r="F92" s="41" t="s">
        <v>613</v>
      </c>
      <c r="G92" s="41" t="s">
        <v>253</v>
      </c>
      <c r="H92" s="257" t="s">
        <v>614</v>
      </c>
      <c r="I92" s="41"/>
      <c r="J92" s="42" t="s">
        <v>11</v>
      </c>
      <c r="K92" s="42"/>
    </row>
    <row r="93" spans="1:11">
      <c r="A93" s="42">
        <v>2</v>
      </c>
      <c r="B93" s="42">
        <v>2025</v>
      </c>
      <c r="C93" s="42">
        <v>88</v>
      </c>
      <c r="D93" s="42" t="str">
        <f t="shared" si="60"/>
        <v>A promessa de um rei que vem – Zacarias, o profeta</v>
      </c>
      <c r="E93" s="41">
        <f t="shared" ref="E93" si="90">+E92+7</f>
        <v>45935</v>
      </c>
      <c r="F93" s="41" t="s">
        <v>615</v>
      </c>
      <c r="G93" s="41" t="s">
        <v>257</v>
      </c>
      <c r="H93" s="260"/>
      <c r="I93" s="41"/>
      <c r="J93" s="42" t="s">
        <v>11</v>
      </c>
      <c r="K93" s="42"/>
    </row>
    <row r="94" spans="1:11">
      <c r="A94" s="42">
        <v>2</v>
      </c>
      <c r="B94" s="42">
        <v>2025</v>
      </c>
      <c r="C94" s="42">
        <v>89</v>
      </c>
      <c r="D94" s="42" t="str">
        <f t="shared" si="60"/>
        <v>Celebrando o livramento do Senhor</v>
      </c>
      <c r="E94" s="41">
        <f t="shared" ref="E94" si="91">+E93+7</f>
        <v>45942</v>
      </c>
      <c r="F94" s="41" t="s">
        <v>259</v>
      </c>
      <c r="G94" s="41" t="s">
        <v>260</v>
      </c>
      <c r="H94" s="258"/>
      <c r="I94" s="41"/>
      <c r="J94" s="42" t="s">
        <v>11</v>
      </c>
      <c r="K94" s="42"/>
    </row>
    <row r="95" spans="1:11">
      <c r="A95" s="42">
        <v>2</v>
      </c>
      <c r="B95" s="42">
        <v>2025</v>
      </c>
      <c r="C95" s="42">
        <v>90</v>
      </c>
      <c r="D95" s="42" t="str">
        <f t="shared" si="60"/>
        <v>Celebrando o livramento do Senhor</v>
      </c>
      <c r="E95" s="41">
        <f t="shared" ref="E95" si="92">+E94+7</f>
        <v>45949</v>
      </c>
      <c r="F95" s="41" t="s">
        <v>262</v>
      </c>
      <c r="G95" s="41" t="s">
        <v>616</v>
      </c>
      <c r="H95" s="257" t="s">
        <v>617</v>
      </c>
      <c r="I95" s="41"/>
      <c r="J95" s="42" t="s">
        <v>11</v>
      </c>
      <c r="K95" s="42"/>
    </row>
    <row r="96" spans="1:11">
      <c r="A96" s="42">
        <v>2</v>
      </c>
      <c r="B96" s="42">
        <v>2025</v>
      </c>
      <c r="C96" s="42">
        <v>91</v>
      </c>
      <c r="D96" s="42" t="str">
        <f t="shared" si="60"/>
        <v>Jó</v>
      </c>
      <c r="E96" s="41">
        <f t="shared" ref="E96" si="93">+E95+7</f>
        <v>45956</v>
      </c>
      <c r="F96" s="41" t="s">
        <v>262</v>
      </c>
      <c r="G96" s="41" t="s">
        <v>616</v>
      </c>
      <c r="H96" s="260"/>
      <c r="I96" s="41"/>
      <c r="J96" s="42" t="s">
        <v>11</v>
      </c>
      <c r="K96" s="42"/>
    </row>
    <row r="97" spans="1:11">
      <c r="A97" s="42">
        <v>2</v>
      </c>
      <c r="B97" s="42">
        <v>2025</v>
      </c>
      <c r="C97" s="42">
        <v>92</v>
      </c>
      <c r="D97" s="42" t="str">
        <f t="shared" si="60"/>
        <v>Jó</v>
      </c>
      <c r="E97" s="41">
        <f t="shared" ref="E97" si="94">+E96+7</f>
        <v>45963</v>
      </c>
      <c r="F97" s="42" t="s">
        <v>618</v>
      </c>
      <c r="G97" s="42" t="s">
        <v>618</v>
      </c>
      <c r="H97" s="260"/>
      <c r="I97" s="41"/>
      <c r="J97" s="42" t="s">
        <v>11</v>
      </c>
      <c r="K97" s="42"/>
    </row>
    <row r="98" spans="1:11">
      <c r="A98" s="42">
        <v>2</v>
      </c>
      <c r="B98" s="42">
        <v>2025</v>
      </c>
      <c r="C98" s="42">
        <v>93</v>
      </c>
      <c r="D98" s="42" t="str">
        <f t="shared" si="60"/>
        <v>Deus protege seu povo através de um copeiro – As muralhas reconstruídas</v>
      </c>
      <c r="E98" s="41">
        <f t="shared" ref="E98" si="95">+E97+7</f>
        <v>45970</v>
      </c>
      <c r="F98" s="42" t="s">
        <v>618</v>
      </c>
      <c r="G98" s="42" t="s">
        <v>618</v>
      </c>
      <c r="H98" s="260"/>
      <c r="I98" s="41"/>
      <c r="J98" s="42" t="s">
        <v>11</v>
      </c>
      <c r="K98" s="42"/>
    </row>
    <row r="99" spans="1:11">
      <c r="A99" s="42">
        <v>2</v>
      </c>
      <c r="B99" s="42">
        <v>2025</v>
      </c>
      <c r="C99" s="42">
        <v>94</v>
      </c>
      <c r="D99" s="42" t="str">
        <f t="shared" si="60"/>
        <v>Deus revive seu povo através de um escriba – O povo de Deus se arrepende</v>
      </c>
      <c r="E99" s="41">
        <f t="shared" ref="E99" si="96">+E98+7</f>
        <v>45977</v>
      </c>
      <c r="F99" s="41" t="s">
        <v>267</v>
      </c>
      <c r="G99" s="41" t="s">
        <v>268</v>
      </c>
      <c r="H99" s="260"/>
      <c r="I99" s="41"/>
      <c r="J99" s="42" t="s">
        <v>11</v>
      </c>
      <c r="K99" s="42"/>
    </row>
    <row r="100" spans="1:11">
      <c r="A100" s="42">
        <v>2</v>
      </c>
      <c r="B100" s="42">
        <v>2025</v>
      </c>
      <c r="C100" s="42">
        <v>95</v>
      </c>
      <c r="D100" s="42" t="str">
        <f t="shared" si="60"/>
        <v>Deus adverte seu povo através de um profeta</v>
      </c>
      <c r="E100" s="41">
        <f t="shared" ref="E100" si="97">+E99+7</f>
        <v>45984</v>
      </c>
      <c r="F100" s="41" t="s">
        <v>270</v>
      </c>
      <c r="G100" s="41" t="s">
        <v>271</v>
      </c>
      <c r="H100" s="260"/>
      <c r="I100" s="41"/>
      <c r="J100" s="42" t="s">
        <v>11</v>
      </c>
      <c r="K100" s="42"/>
    </row>
    <row r="101" spans="1:11">
      <c r="A101" s="42">
        <v>2</v>
      </c>
      <c r="B101" s="42">
        <v>2025</v>
      </c>
      <c r="C101" s="42">
        <v>96</v>
      </c>
      <c r="D101" s="42" t="str">
        <f t="shared" si="60"/>
        <v>Período intertestamentário</v>
      </c>
      <c r="E101" s="41">
        <f t="shared" ref="E101" si="98">+E100+7</f>
        <v>45991</v>
      </c>
      <c r="F101" s="41" t="s">
        <v>274</v>
      </c>
      <c r="G101" s="41" t="s">
        <v>275</v>
      </c>
      <c r="H101" s="258"/>
      <c r="I101" s="41"/>
      <c r="J101" s="42" t="s">
        <v>11</v>
      </c>
      <c r="K101" s="42"/>
    </row>
    <row r="102" spans="1:11">
      <c r="A102" s="42">
        <v>2</v>
      </c>
      <c r="B102" s="42">
        <v>2025</v>
      </c>
      <c r="C102" s="42">
        <v>97</v>
      </c>
      <c r="D102" s="42" t="str">
        <f t="shared" si="60"/>
        <v>Nascimento de Jesus</v>
      </c>
      <c r="E102" s="41">
        <f t="shared" ref="E102" si="99">+E101+7</f>
        <v>45998</v>
      </c>
      <c r="F102" s="3" t="s">
        <v>619</v>
      </c>
      <c r="G102" s="41"/>
      <c r="H102" s="41" t="s">
        <v>619</v>
      </c>
      <c r="I102" s="41"/>
      <c r="J102" s="42"/>
      <c r="K102" s="42"/>
    </row>
    <row r="103" spans="1:11">
      <c r="A103" s="42">
        <v>2</v>
      </c>
      <c r="B103" s="42">
        <v>2025</v>
      </c>
      <c r="C103" s="42">
        <v>98</v>
      </c>
      <c r="D103" s="41" t="str">
        <f>F106</f>
        <v>Evangelhos</v>
      </c>
      <c r="E103" s="41">
        <f t="shared" ref="E103" si="100">+E102+7</f>
        <v>46005</v>
      </c>
      <c r="F103" s="41" t="s">
        <v>620</v>
      </c>
      <c r="G103" s="41" t="s">
        <v>621</v>
      </c>
      <c r="H103" s="41"/>
      <c r="I103" s="41"/>
      <c r="J103" s="41" t="s">
        <v>227</v>
      </c>
      <c r="K103" s="42"/>
    </row>
    <row r="104" spans="1:11">
      <c r="A104" s="42">
        <v>2</v>
      </c>
      <c r="B104" s="42">
        <v>2025</v>
      </c>
      <c r="C104" s="42"/>
      <c r="D104" s="42"/>
      <c r="E104" s="41">
        <f t="shared" ref="E104" si="101">+E103+7</f>
        <v>46012</v>
      </c>
      <c r="F104" s="3" t="s">
        <v>429</v>
      </c>
      <c r="G104" s="41"/>
      <c r="H104" s="41"/>
      <c r="I104" s="41"/>
      <c r="J104" s="41"/>
      <c r="K104" s="42"/>
    </row>
    <row r="105" spans="1:11">
      <c r="A105" s="42">
        <v>2</v>
      </c>
      <c r="B105" s="42">
        <v>2025</v>
      </c>
      <c r="C105" s="42"/>
      <c r="D105" s="42"/>
      <c r="E105" s="41">
        <f t="shared" ref="E105" si="102">+E104+7</f>
        <v>46019</v>
      </c>
      <c r="F105" s="3" t="s">
        <v>430</v>
      </c>
      <c r="G105" s="42"/>
      <c r="H105" s="41"/>
      <c r="I105" s="41"/>
      <c r="J105" s="41"/>
      <c r="K105" s="42"/>
    </row>
    <row r="106" spans="1:11">
      <c r="A106" s="42">
        <v>3</v>
      </c>
      <c r="B106" s="42">
        <v>2026</v>
      </c>
      <c r="C106" s="42">
        <v>99</v>
      </c>
      <c r="D106" s="41" t="str">
        <f>F107</f>
        <v>Evangelhos</v>
      </c>
      <c r="E106" s="41">
        <f t="shared" ref="E106" si="103">+E105+7</f>
        <v>46026</v>
      </c>
      <c r="F106" s="41" t="s">
        <v>131</v>
      </c>
      <c r="G106" s="41" t="s">
        <v>622</v>
      </c>
      <c r="H106" s="257" t="s">
        <v>131</v>
      </c>
      <c r="I106" s="41"/>
      <c r="J106" s="41" t="s">
        <v>227</v>
      </c>
      <c r="K106" s="42"/>
    </row>
    <row r="107" spans="1:11">
      <c r="A107" s="42">
        <v>3</v>
      </c>
      <c r="B107" s="42">
        <v>2026</v>
      </c>
      <c r="C107" s="42">
        <v>100</v>
      </c>
      <c r="D107" s="41" t="str">
        <f t="shared" ref="D107:D153" si="104">F108</f>
        <v>Evangelhos</v>
      </c>
      <c r="E107" s="41">
        <f t="shared" ref="E107" si="105">+E106+7</f>
        <v>46033</v>
      </c>
      <c r="F107" s="41" t="s">
        <v>131</v>
      </c>
      <c r="G107" s="41" t="s">
        <v>623</v>
      </c>
      <c r="H107" s="260"/>
      <c r="I107" s="41"/>
      <c r="J107" s="41" t="s">
        <v>227</v>
      </c>
      <c r="K107" s="42"/>
    </row>
    <row r="108" spans="1:11">
      <c r="A108" s="42">
        <v>3</v>
      </c>
      <c r="B108" s="42">
        <v>2026</v>
      </c>
      <c r="C108" s="42">
        <v>101</v>
      </c>
      <c r="D108" s="41" t="str">
        <f t="shared" si="104"/>
        <v>Evangelhos</v>
      </c>
      <c r="E108" s="41">
        <f t="shared" ref="E108" si="106">+E107+7</f>
        <v>46040</v>
      </c>
      <c r="F108" s="41" t="s">
        <v>131</v>
      </c>
      <c r="G108" s="41" t="s">
        <v>624</v>
      </c>
      <c r="H108" s="260"/>
      <c r="I108" s="41"/>
      <c r="J108" s="41" t="s">
        <v>227</v>
      </c>
      <c r="K108" s="42"/>
    </row>
    <row r="109" spans="1:11">
      <c r="A109" s="42">
        <v>3</v>
      </c>
      <c r="B109" s="42">
        <v>2026</v>
      </c>
      <c r="C109" s="42">
        <v>102</v>
      </c>
      <c r="D109" s="41" t="str">
        <f t="shared" si="104"/>
        <v>Evangelhos</v>
      </c>
      <c r="E109" s="41">
        <f t="shared" ref="E109" si="107">+E108+7</f>
        <v>46047</v>
      </c>
      <c r="F109" s="41" t="s">
        <v>131</v>
      </c>
      <c r="G109" s="41" t="s">
        <v>625</v>
      </c>
      <c r="H109" s="260"/>
      <c r="I109" s="41"/>
      <c r="J109" s="41" t="s">
        <v>227</v>
      </c>
      <c r="K109" s="42"/>
    </row>
    <row r="110" spans="1:11">
      <c r="A110" s="42">
        <v>3</v>
      </c>
      <c r="B110" s="42">
        <v>2026</v>
      </c>
      <c r="C110" s="42">
        <v>103</v>
      </c>
      <c r="D110" s="41" t="str">
        <f t="shared" si="104"/>
        <v>Evangelhos</v>
      </c>
      <c r="E110" s="41">
        <f t="shared" ref="E110" si="108">+E109+7</f>
        <v>46054</v>
      </c>
      <c r="F110" s="41" t="s">
        <v>131</v>
      </c>
      <c r="G110" s="41" t="s">
        <v>626</v>
      </c>
      <c r="H110" s="260"/>
      <c r="I110" s="41"/>
      <c r="J110" s="41" t="s">
        <v>227</v>
      </c>
      <c r="K110" s="41" t="s">
        <v>627</v>
      </c>
    </row>
    <row r="111" spans="1:11">
      <c r="A111" s="42">
        <v>3</v>
      </c>
      <c r="B111" s="42">
        <v>2026</v>
      </c>
      <c r="C111" s="42">
        <v>104</v>
      </c>
      <c r="D111" s="41" t="str">
        <f t="shared" si="104"/>
        <v>Feriado de Carnaval</v>
      </c>
      <c r="E111" s="41">
        <f t="shared" ref="E111" si="109">+E110+7</f>
        <v>46061</v>
      </c>
      <c r="F111" s="41" t="s">
        <v>131</v>
      </c>
      <c r="G111" s="41" t="s">
        <v>628</v>
      </c>
      <c r="H111" s="260"/>
      <c r="I111" s="41"/>
      <c r="J111" s="41" t="s">
        <v>227</v>
      </c>
      <c r="K111" s="42"/>
    </row>
    <row r="112" spans="1:11">
      <c r="A112" s="42">
        <v>3</v>
      </c>
      <c r="B112" s="42">
        <v>2026</v>
      </c>
      <c r="C112" s="42">
        <v>105</v>
      </c>
      <c r="D112" s="41" t="str">
        <f t="shared" si="104"/>
        <v>Evangelhos</v>
      </c>
      <c r="E112" s="41">
        <f t="shared" ref="E112" si="110">+E111+7</f>
        <v>46068</v>
      </c>
      <c r="F112" s="3" t="s">
        <v>575</v>
      </c>
      <c r="G112" s="41" t="s">
        <v>629</v>
      </c>
      <c r="H112" s="260"/>
      <c r="I112" s="41"/>
      <c r="J112" s="41" t="s">
        <v>227</v>
      </c>
      <c r="K112" s="42"/>
    </row>
    <row r="113" spans="1:11">
      <c r="A113" s="42">
        <v>3</v>
      </c>
      <c r="B113" s="42">
        <v>2026</v>
      </c>
      <c r="C113" s="42">
        <v>106</v>
      </c>
      <c r="D113" s="41" t="str">
        <f t="shared" si="104"/>
        <v>Evangelhos</v>
      </c>
      <c r="E113" s="41">
        <f t="shared" ref="E113" si="111">+E112+7</f>
        <v>46075</v>
      </c>
      <c r="F113" s="41" t="s">
        <v>131</v>
      </c>
      <c r="G113" s="41"/>
      <c r="H113" s="260"/>
      <c r="I113" s="41"/>
      <c r="J113" s="41" t="s">
        <v>227</v>
      </c>
      <c r="K113" s="42"/>
    </row>
    <row r="114" spans="1:11">
      <c r="A114" s="42">
        <v>3</v>
      </c>
      <c r="B114" s="42">
        <v>2026</v>
      </c>
      <c r="C114" s="42">
        <v>107</v>
      </c>
      <c r="D114" s="41" t="str">
        <f t="shared" si="104"/>
        <v>Transformados pelo Espírito Santo</v>
      </c>
      <c r="E114" s="41">
        <f t="shared" ref="E114" si="112">+E113+7</f>
        <v>46082</v>
      </c>
      <c r="F114" s="41" t="s">
        <v>131</v>
      </c>
      <c r="G114" s="41"/>
      <c r="H114" s="258"/>
      <c r="I114" s="41"/>
      <c r="J114" s="41" t="s">
        <v>227</v>
      </c>
      <c r="K114" s="42"/>
    </row>
    <row r="115" spans="1:11">
      <c r="A115" s="42">
        <v>3</v>
      </c>
      <c r="B115" s="42">
        <v>2026</v>
      </c>
      <c r="C115" s="42">
        <v>108</v>
      </c>
      <c r="D115" s="41" t="str">
        <f t="shared" si="104"/>
        <v>Vida Comum na Igreja
Curas, Pregação e Perseguição</v>
      </c>
      <c r="E115" s="41">
        <f t="shared" ref="E115" si="113">+E114+7</f>
        <v>46089</v>
      </c>
      <c r="F115" s="48" t="s">
        <v>309</v>
      </c>
      <c r="G115" s="41" t="s">
        <v>630</v>
      </c>
      <c r="H115" s="257" t="s">
        <v>631</v>
      </c>
      <c r="I115" s="41"/>
      <c r="J115" s="41" t="s">
        <v>227</v>
      </c>
      <c r="K115" s="42"/>
    </row>
    <row r="116" spans="1:11">
      <c r="A116" s="42">
        <v>3</v>
      </c>
      <c r="B116" s="42">
        <v>2026</v>
      </c>
      <c r="C116" s="42">
        <v>109</v>
      </c>
      <c r="D116" s="41" t="str">
        <f t="shared" si="104"/>
        <v>O sermão de Estêvão</v>
      </c>
      <c r="E116" s="41">
        <f t="shared" ref="E116" si="114">+E115+7</f>
        <v>46096</v>
      </c>
      <c r="F116" s="41" t="s">
        <v>312</v>
      </c>
      <c r="G116" s="41" t="s">
        <v>632</v>
      </c>
      <c r="H116" s="260"/>
      <c r="I116" s="41"/>
      <c r="J116" s="41" t="s">
        <v>227</v>
      </c>
      <c r="K116" s="42"/>
    </row>
    <row r="117" spans="1:11">
      <c r="A117" s="42">
        <v>3</v>
      </c>
      <c r="B117" s="42">
        <v>2026</v>
      </c>
      <c r="C117" s="42">
        <v>110</v>
      </c>
      <c r="D117" s="41" t="str">
        <f t="shared" si="104"/>
        <v>O testemunho de Filipe fora de Jerusalém</v>
      </c>
      <c r="E117" s="41">
        <f t="shared" ref="E117" si="115">+E116+7</f>
        <v>46103</v>
      </c>
      <c r="F117" s="41" t="s">
        <v>315</v>
      </c>
      <c r="G117" s="41" t="s">
        <v>633</v>
      </c>
      <c r="H117" s="260"/>
      <c r="I117" s="41"/>
      <c r="J117" s="41" t="s">
        <v>227</v>
      </c>
      <c r="K117" s="42"/>
    </row>
    <row r="118" spans="1:11">
      <c r="A118" s="42">
        <v>3</v>
      </c>
      <c r="B118" s="42">
        <v>2026</v>
      </c>
      <c r="C118" s="42">
        <v>111</v>
      </c>
      <c r="D118" s="41" t="str">
        <f t="shared" si="104"/>
        <v>Domingo de Páscoa</v>
      </c>
      <c r="E118" s="41">
        <f t="shared" ref="E118" si="116">+E117+7</f>
        <v>46110</v>
      </c>
      <c r="F118" s="41" t="s">
        <v>318</v>
      </c>
      <c r="G118" s="41" t="s">
        <v>319</v>
      </c>
      <c r="H118" s="258"/>
      <c r="I118" s="41"/>
      <c r="J118" s="41" t="s">
        <v>227</v>
      </c>
      <c r="K118" s="42"/>
    </row>
    <row r="119" spans="1:11">
      <c r="A119" s="42">
        <v>3</v>
      </c>
      <c r="B119" s="42">
        <v>2026</v>
      </c>
      <c r="C119" s="42"/>
      <c r="D119" s="41" t="str">
        <f t="shared" si="104"/>
        <v>A conversão de Saulo</v>
      </c>
      <c r="E119" s="41">
        <f t="shared" ref="E119" si="117">+E118+7</f>
        <v>46117</v>
      </c>
      <c r="F119" s="3" t="s">
        <v>475</v>
      </c>
      <c r="G119" s="41"/>
      <c r="H119" s="41"/>
      <c r="I119" s="41"/>
      <c r="J119" s="41"/>
      <c r="K119" s="42"/>
    </row>
    <row r="120" spans="1:11">
      <c r="A120" s="42">
        <v>3</v>
      </c>
      <c r="B120" s="42">
        <v>2026</v>
      </c>
      <c r="C120" s="42">
        <v>112</v>
      </c>
      <c r="D120" s="41" t="str">
        <f t="shared" si="104"/>
        <v>A igreja é enviada a todos (Pedro e Cornélio) + Barnabé em Antioquia</v>
      </c>
      <c r="E120" s="41">
        <f t="shared" ref="E120" si="118">+E119+7</f>
        <v>46124</v>
      </c>
      <c r="F120" s="41" t="s">
        <v>322</v>
      </c>
      <c r="G120" s="41" t="s">
        <v>634</v>
      </c>
      <c r="H120" s="257" t="s">
        <v>635</v>
      </c>
      <c r="I120" s="41"/>
      <c r="J120" s="41" t="s">
        <v>227</v>
      </c>
      <c r="K120" s="42"/>
    </row>
    <row r="121" spans="1:11">
      <c r="A121" s="42">
        <v>3</v>
      </c>
      <c r="B121" s="42">
        <v>2026</v>
      </c>
      <c r="C121" s="42">
        <v>113</v>
      </c>
      <c r="D121" s="41" t="str">
        <f t="shared" si="104"/>
        <v>A igreja de Jerusalém é perseguida</v>
      </c>
      <c r="E121" s="41">
        <f t="shared" ref="E121" si="119">+E120+7</f>
        <v>46131</v>
      </c>
      <c r="F121" s="41" t="s">
        <v>325</v>
      </c>
      <c r="G121" s="41" t="s">
        <v>636</v>
      </c>
      <c r="H121" s="260"/>
      <c r="I121" s="41"/>
      <c r="J121" s="41" t="s">
        <v>227</v>
      </c>
      <c r="K121" s="42"/>
    </row>
    <row r="122" spans="1:11">
      <c r="A122" s="42">
        <v>3</v>
      </c>
      <c r="B122" s="42">
        <v>2026</v>
      </c>
      <c r="C122" s="42">
        <v>114</v>
      </c>
      <c r="D122" s="41" t="str">
        <f t="shared" si="104"/>
        <v>A primeira viagem missionária de Paulo</v>
      </c>
      <c r="E122" s="41">
        <f t="shared" ref="E122" si="120">+E121+7</f>
        <v>46138</v>
      </c>
      <c r="F122" s="41" t="s">
        <v>328</v>
      </c>
      <c r="G122" s="41" t="s">
        <v>637</v>
      </c>
      <c r="H122" s="258"/>
      <c r="I122" s="41"/>
      <c r="J122" s="41" t="s">
        <v>227</v>
      </c>
      <c r="K122" s="42"/>
    </row>
    <row r="123" spans="1:11">
      <c r="A123" s="42">
        <v>3</v>
      </c>
      <c r="B123" s="42">
        <v>2026</v>
      </c>
      <c r="C123" s="42">
        <v>115</v>
      </c>
      <c r="D123" s="41" t="str">
        <f t="shared" si="104"/>
        <v>O Concílio de Jerusalém</v>
      </c>
      <c r="E123" s="41">
        <f t="shared" ref="E123" si="121">+E122+7</f>
        <v>46145</v>
      </c>
      <c r="F123" s="41" t="s">
        <v>332</v>
      </c>
      <c r="G123" s="41" t="s">
        <v>638</v>
      </c>
      <c r="H123" s="257" t="s">
        <v>639</v>
      </c>
      <c r="I123" s="41"/>
      <c r="J123" s="41" t="s">
        <v>227</v>
      </c>
      <c r="K123" s="42"/>
    </row>
    <row r="124" spans="1:11">
      <c r="A124" s="42">
        <v>3</v>
      </c>
      <c r="B124" s="42">
        <v>2026</v>
      </c>
      <c r="C124" s="42">
        <v>116</v>
      </c>
      <c r="D124" s="41" t="str">
        <f t="shared" si="104"/>
        <v>A segunda viagem missionária de Paulo</v>
      </c>
      <c r="E124" s="41">
        <f t="shared" ref="E124" si="122">+E123+7</f>
        <v>46152</v>
      </c>
      <c r="F124" s="41" t="s">
        <v>335</v>
      </c>
      <c r="G124" s="41" t="s">
        <v>640</v>
      </c>
      <c r="H124" s="260"/>
      <c r="I124" s="41"/>
      <c r="J124" s="41" t="s">
        <v>227</v>
      </c>
      <c r="K124" s="42"/>
    </row>
    <row r="125" spans="1:11">
      <c r="A125" s="42">
        <v>3</v>
      </c>
      <c r="B125" s="42">
        <v>2026</v>
      </c>
      <c r="C125" s="42">
        <v>117</v>
      </c>
      <c r="D125" s="41" t="str">
        <f t="shared" si="104"/>
        <v>A igreja é unida pela esperança</v>
      </c>
      <c r="E125" s="41">
        <f t="shared" ref="E125" si="123">+E124+7</f>
        <v>46159</v>
      </c>
      <c r="F125" s="41" t="s">
        <v>338</v>
      </c>
      <c r="G125" s="41" t="s">
        <v>641</v>
      </c>
      <c r="H125" s="260"/>
      <c r="I125" s="41"/>
      <c r="J125" s="41" t="s">
        <v>227</v>
      </c>
      <c r="K125" s="42"/>
    </row>
    <row r="126" spans="1:11">
      <c r="A126" s="42">
        <v>3</v>
      </c>
      <c r="B126" s="42">
        <v>2026</v>
      </c>
      <c r="C126" s="42">
        <v>118</v>
      </c>
      <c r="D126" s="41" t="str">
        <f t="shared" si="104"/>
        <v>A igreja é unida pela esperança</v>
      </c>
      <c r="E126" s="41">
        <f t="shared" ref="E126" si="124">+E125+7</f>
        <v>46166</v>
      </c>
      <c r="F126" s="48" t="s">
        <v>341</v>
      </c>
      <c r="G126" s="41" t="s">
        <v>642</v>
      </c>
      <c r="H126" s="260"/>
      <c r="I126" s="41"/>
      <c r="J126" s="41" t="s">
        <v>227</v>
      </c>
      <c r="K126" s="42" t="s">
        <v>643</v>
      </c>
    </row>
    <row r="127" spans="1:11">
      <c r="A127" s="42">
        <v>3</v>
      </c>
      <c r="B127" s="42">
        <v>2026</v>
      </c>
      <c r="C127" s="42">
        <v>119</v>
      </c>
      <c r="D127" s="41" t="str">
        <f t="shared" si="104"/>
        <v>A terceira viagem missionária de Paulo</v>
      </c>
      <c r="E127" s="41">
        <f t="shared" ref="E127" si="125">+E126+7</f>
        <v>46173</v>
      </c>
      <c r="F127" s="48" t="s">
        <v>341</v>
      </c>
      <c r="G127" s="41" t="s">
        <v>644</v>
      </c>
      <c r="H127" s="260"/>
      <c r="I127" s="41"/>
      <c r="J127" s="41" t="s">
        <v>227</v>
      </c>
      <c r="K127" s="42"/>
    </row>
    <row r="128" spans="1:11">
      <c r="A128" s="42">
        <v>3</v>
      </c>
      <c r="B128" s="42">
        <v>2026</v>
      </c>
      <c r="C128" s="42">
        <v>120</v>
      </c>
      <c r="D128" s="41" t="str">
        <f t="shared" si="104"/>
        <v>A igreja é unida pelo Evangelho</v>
      </c>
      <c r="E128" s="41">
        <f t="shared" ref="E128" si="126">+E127+7</f>
        <v>46180</v>
      </c>
      <c r="F128" s="48" t="s">
        <v>344</v>
      </c>
      <c r="G128" s="41" t="s">
        <v>645</v>
      </c>
      <c r="H128" s="258"/>
      <c r="I128" s="41"/>
      <c r="J128" s="41" t="s">
        <v>227</v>
      </c>
      <c r="K128" s="42"/>
    </row>
    <row r="129" spans="1:11">
      <c r="A129" s="42">
        <v>3</v>
      </c>
      <c r="B129" s="42">
        <v>2026</v>
      </c>
      <c r="C129" s="42">
        <v>121</v>
      </c>
      <c r="D129" s="41" t="str">
        <f t="shared" si="104"/>
        <v>Correções e instruções</v>
      </c>
      <c r="E129" s="41">
        <f t="shared" ref="E129" si="127">+E128+7</f>
        <v>46187</v>
      </c>
      <c r="F129" s="48" t="s">
        <v>351</v>
      </c>
      <c r="G129" s="41" t="s">
        <v>646</v>
      </c>
      <c r="H129" s="257" t="s">
        <v>350</v>
      </c>
      <c r="I129" s="41"/>
      <c r="J129" s="41" t="s">
        <v>227</v>
      </c>
      <c r="K129" s="42"/>
    </row>
    <row r="130" spans="1:11">
      <c r="A130" s="42">
        <v>3</v>
      </c>
      <c r="B130" s="42">
        <v>2026</v>
      </c>
      <c r="C130" s="42">
        <v>122</v>
      </c>
      <c r="D130" s="41" t="str">
        <f t="shared" si="104"/>
        <v>O poder do Espírito para nos transformar</v>
      </c>
      <c r="E130" s="41">
        <f t="shared" ref="E130" si="128">+E129+7</f>
        <v>46194</v>
      </c>
      <c r="F130" s="48" t="s">
        <v>354</v>
      </c>
      <c r="G130" s="41" t="s">
        <v>647</v>
      </c>
      <c r="H130" s="260"/>
      <c r="I130" s="41"/>
      <c r="J130" s="41" t="s">
        <v>227</v>
      </c>
      <c r="K130" s="42"/>
    </row>
    <row r="131" spans="1:11">
      <c r="A131" s="42">
        <v>3</v>
      </c>
      <c r="B131" s="42">
        <v>2026</v>
      </c>
      <c r="C131" s="42">
        <v>123</v>
      </c>
      <c r="D131" s="41" t="str">
        <f t="shared" si="104"/>
        <v>Guardando o evangelho</v>
      </c>
      <c r="E131" s="41">
        <f t="shared" ref="E131" si="129">+E130+7</f>
        <v>46201</v>
      </c>
      <c r="F131" s="48" t="s">
        <v>360</v>
      </c>
      <c r="G131" s="41" t="s">
        <v>648</v>
      </c>
      <c r="H131" s="260"/>
      <c r="I131" s="41"/>
      <c r="J131" s="41" t="s">
        <v>227</v>
      </c>
      <c r="K131" s="42"/>
    </row>
    <row r="132" spans="1:11">
      <c r="A132" s="42">
        <v>3</v>
      </c>
      <c r="B132" s="42">
        <v>2026</v>
      </c>
      <c r="C132" s="42">
        <v>124</v>
      </c>
      <c r="D132" s="41" t="str">
        <f t="shared" si="104"/>
        <v>Confiando no evangelho - perdição e justiça</v>
      </c>
      <c r="E132" s="41">
        <f t="shared" ref="E132" si="130">+E131+7</f>
        <v>46208</v>
      </c>
      <c r="F132" s="48" t="s">
        <v>363</v>
      </c>
      <c r="G132" s="41" t="s">
        <v>649</v>
      </c>
      <c r="H132" s="260"/>
      <c r="I132" s="41"/>
      <c r="J132" s="41" t="s">
        <v>227</v>
      </c>
      <c r="K132" s="42"/>
    </row>
    <row r="133" spans="1:11">
      <c r="A133" s="42">
        <v>3</v>
      </c>
      <c r="B133" s="42">
        <v>2026</v>
      </c>
      <c r="C133" s="42">
        <v>125</v>
      </c>
      <c r="D133" s="41" t="str">
        <f t="shared" si="104"/>
        <v>Confiando no Evangelho - santificação (6 a 8) e escatologia (9 a 11)</v>
      </c>
      <c r="E133" s="41">
        <f t="shared" ref="E133" si="131">+E132+7</f>
        <v>46215</v>
      </c>
      <c r="F133" s="48" t="s">
        <v>366</v>
      </c>
      <c r="G133" s="41" t="s">
        <v>650</v>
      </c>
      <c r="H133" s="260"/>
      <c r="I133" s="41"/>
      <c r="J133" s="41" t="s">
        <v>227</v>
      </c>
      <c r="K133" s="42" t="s">
        <v>651</v>
      </c>
    </row>
    <row r="134" spans="1:11" ht="29.1">
      <c r="A134" s="42">
        <v>3</v>
      </c>
      <c r="B134" s="42">
        <v>2026</v>
      </c>
      <c r="C134" s="42">
        <v>126</v>
      </c>
      <c r="D134" s="41" t="str">
        <f t="shared" si="104"/>
        <v>Confiando no Evangelho - orientações práticas para a vida da igreja</v>
      </c>
      <c r="E134" s="41">
        <f t="shared" ref="E134" si="132">+E133+7</f>
        <v>46222</v>
      </c>
      <c r="F134" s="48" t="s">
        <v>369</v>
      </c>
      <c r="G134" s="41" t="s">
        <v>652</v>
      </c>
      <c r="H134" s="260"/>
      <c r="I134" s="41"/>
      <c r="J134" s="41" t="s">
        <v>227</v>
      </c>
      <c r="K134" s="42" t="s">
        <v>653</v>
      </c>
    </row>
    <row r="135" spans="1:11" ht="29.1">
      <c r="A135" s="42">
        <v>3</v>
      </c>
      <c r="B135" s="42">
        <v>2026</v>
      </c>
      <c r="C135" s="42">
        <v>127</v>
      </c>
      <c r="D135" s="41" t="str">
        <f t="shared" si="104"/>
        <v>Pregando em todas as circunstâncias</v>
      </c>
      <c r="E135" s="41">
        <f t="shared" ref="E135" si="133">+E134+7</f>
        <v>46229</v>
      </c>
      <c r="F135" s="48" t="s">
        <v>372</v>
      </c>
      <c r="G135" s="41" t="s">
        <v>654</v>
      </c>
      <c r="H135" s="260"/>
      <c r="I135" s="41"/>
      <c r="J135" s="41" t="s">
        <v>227</v>
      </c>
      <c r="K135" s="42"/>
    </row>
    <row r="136" spans="1:11">
      <c r="A136" s="42">
        <v>3</v>
      </c>
      <c r="B136" s="42">
        <v>2026</v>
      </c>
      <c r="C136" s="42">
        <v>128</v>
      </c>
      <c r="D136" s="41" t="str">
        <f t="shared" si="104"/>
        <v>A viagem de Paulo a Roma</v>
      </c>
      <c r="E136" s="41">
        <f t="shared" ref="E136" si="134">+E135+7</f>
        <v>46236</v>
      </c>
      <c r="F136" s="48" t="s">
        <v>375</v>
      </c>
      <c r="G136" s="41" t="s">
        <v>655</v>
      </c>
      <c r="H136" s="260"/>
      <c r="I136" s="41"/>
      <c r="J136" s="41" t="s">
        <v>227</v>
      </c>
      <c r="K136" s="42"/>
    </row>
    <row r="137" spans="1:11">
      <c r="A137" s="42">
        <v>3</v>
      </c>
      <c r="B137" s="42">
        <v>2026</v>
      </c>
      <c r="C137" s="42">
        <v>129</v>
      </c>
      <c r="D137" s="41" t="str">
        <f t="shared" si="104"/>
        <v>Perseguindo o alvo</v>
      </c>
      <c r="E137" s="41">
        <f t="shared" ref="E137" si="135">+E136+7</f>
        <v>46243</v>
      </c>
      <c r="F137" s="48" t="s">
        <v>378</v>
      </c>
      <c r="G137" s="41" t="s">
        <v>656</v>
      </c>
      <c r="H137" s="258"/>
      <c r="I137" s="41"/>
      <c r="J137" s="41" t="s">
        <v>227</v>
      </c>
      <c r="K137" s="42"/>
    </row>
    <row r="138" spans="1:11">
      <c r="A138" s="42">
        <v>3</v>
      </c>
      <c r="B138" s="42">
        <v>2026</v>
      </c>
      <c r="C138" s="42">
        <v>130</v>
      </c>
      <c r="D138" s="41" t="str">
        <f t="shared" si="104"/>
        <v>Experimentando uma nova identidade no evangelho de Jesus</v>
      </c>
      <c r="E138" s="41">
        <f t="shared" ref="E138" si="136">+E137+7</f>
        <v>46250</v>
      </c>
      <c r="F138" s="48" t="s">
        <v>381</v>
      </c>
      <c r="G138" s="41" t="s">
        <v>657</v>
      </c>
      <c r="H138" s="257" t="s">
        <v>658</v>
      </c>
      <c r="I138" s="41"/>
      <c r="J138" s="41" t="s">
        <v>227</v>
      </c>
      <c r="K138" s="42" t="s">
        <v>659</v>
      </c>
    </row>
    <row r="139" spans="1:11" ht="29.1">
      <c r="A139" s="42">
        <v>3</v>
      </c>
      <c r="B139" s="42">
        <v>2026</v>
      </c>
      <c r="C139" s="42">
        <v>131</v>
      </c>
      <c r="D139" s="41" t="str">
        <f t="shared" si="104"/>
        <v>Vivendo na graça</v>
      </c>
      <c r="E139" s="41">
        <f t="shared" ref="E139" si="137">+E138+7</f>
        <v>46257</v>
      </c>
      <c r="F139" s="48" t="s">
        <v>384</v>
      </c>
      <c r="G139" s="41" t="s">
        <v>660</v>
      </c>
      <c r="H139" s="260"/>
      <c r="I139" s="41"/>
      <c r="J139" s="41" t="s">
        <v>227</v>
      </c>
      <c r="K139" s="42" t="s">
        <v>661</v>
      </c>
    </row>
    <row r="140" spans="1:11">
      <c r="A140" s="42">
        <v>3</v>
      </c>
      <c r="B140" s="42">
        <v>2026</v>
      </c>
      <c r="C140" s="42">
        <v>132</v>
      </c>
      <c r="D140" s="41" t="str">
        <f t="shared" si="104"/>
        <v>Quebrando barreiras</v>
      </c>
      <c r="E140" s="41">
        <f t="shared" ref="E140" si="138">+E139+7</f>
        <v>46264</v>
      </c>
      <c r="F140" s="48" t="s">
        <v>387</v>
      </c>
      <c r="G140" s="41" t="s">
        <v>657</v>
      </c>
      <c r="H140" s="260"/>
      <c r="I140" s="41"/>
      <c r="J140" s="41" t="s">
        <v>227</v>
      </c>
      <c r="K140" s="42"/>
    </row>
    <row r="141" spans="1:11">
      <c r="A141" s="42">
        <v>3</v>
      </c>
      <c r="B141" s="42">
        <v>2026</v>
      </c>
      <c r="C141" s="42">
        <v>133</v>
      </c>
      <c r="D141" s="41" t="str">
        <f t="shared" si="104"/>
        <v>Cartas pastorais</v>
      </c>
      <c r="E141" s="41">
        <f t="shared" ref="E141" si="139">+E140+7</f>
        <v>46271</v>
      </c>
      <c r="F141" s="48" t="s">
        <v>390</v>
      </c>
      <c r="G141" s="41" t="s">
        <v>662</v>
      </c>
      <c r="H141" s="258"/>
      <c r="I141" s="41"/>
      <c r="J141" s="41" t="s">
        <v>227</v>
      </c>
      <c r="K141" s="42"/>
    </row>
    <row r="142" spans="1:11">
      <c r="A142" s="42">
        <v>3</v>
      </c>
      <c r="B142" s="42">
        <v>2026</v>
      </c>
      <c r="C142" s="42">
        <v>134</v>
      </c>
      <c r="D142" s="41" t="str">
        <f t="shared" si="104"/>
        <v>Cartas pastorais</v>
      </c>
      <c r="E142" s="41">
        <f t="shared" ref="E142" si="140">+E141+7</f>
        <v>46278</v>
      </c>
      <c r="F142" s="48" t="s">
        <v>393</v>
      </c>
      <c r="G142" s="41" t="s">
        <v>663</v>
      </c>
      <c r="H142" s="257" t="s">
        <v>393</v>
      </c>
      <c r="I142" s="41"/>
      <c r="J142" s="41" t="s">
        <v>227</v>
      </c>
      <c r="K142" s="42"/>
    </row>
    <row r="143" spans="1:11">
      <c r="A143" s="42">
        <v>3</v>
      </c>
      <c r="B143" s="42">
        <v>2026</v>
      </c>
      <c r="C143" s="42">
        <v>135</v>
      </c>
      <c r="D143" s="41" t="str">
        <f t="shared" si="104"/>
        <v>Confiando em tempos difíceis</v>
      </c>
      <c r="E143" s="41">
        <f t="shared" ref="E143" si="141">+E142+7</f>
        <v>46285</v>
      </c>
      <c r="F143" s="48" t="s">
        <v>393</v>
      </c>
      <c r="G143" s="41" t="s">
        <v>664</v>
      </c>
      <c r="H143" s="258"/>
      <c r="I143" s="41"/>
      <c r="J143" s="41" t="s">
        <v>227</v>
      </c>
      <c r="K143" s="42" t="s">
        <v>665</v>
      </c>
    </row>
    <row r="144" spans="1:11">
      <c r="A144" s="42">
        <v>3</v>
      </c>
      <c r="B144" s="42">
        <v>2026</v>
      </c>
      <c r="C144" s="42">
        <v>136</v>
      </c>
      <c r="D144" s="41" t="str">
        <f t="shared" si="104"/>
        <v>Buscando uma vida com Deus</v>
      </c>
      <c r="E144" s="41">
        <f t="shared" ref="E144" si="142">+E143+7</f>
        <v>46292</v>
      </c>
      <c r="F144" s="48" t="s">
        <v>400</v>
      </c>
      <c r="G144" s="41" t="s">
        <v>666</v>
      </c>
      <c r="H144" s="257" t="s">
        <v>667</v>
      </c>
      <c r="I144" s="41"/>
      <c r="J144" s="41" t="s">
        <v>227</v>
      </c>
      <c r="K144" s="42"/>
    </row>
    <row r="145" spans="1:11">
      <c r="A145" s="42">
        <v>3</v>
      </c>
      <c r="B145" s="42">
        <v>2026</v>
      </c>
      <c r="C145" s="42">
        <v>137</v>
      </c>
      <c r="D145" s="41" t="str">
        <f t="shared" si="104"/>
        <v>A igreja é enviada para proclamar a Jesus</v>
      </c>
      <c r="E145" s="41">
        <f t="shared" ref="E145" si="143">+E144+7</f>
        <v>46299</v>
      </c>
      <c r="F145" s="49" t="s">
        <v>403</v>
      </c>
      <c r="G145" s="41" t="s">
        <v>668</v>
      </c>
      <c r="H145" s="260"/>
      <c r="I145" s="41"/>
      <c r="J145" s="41" t="s">
        <v>227</v>
      </c>
      <c r="K145" s="42"/>
    </row>
    <row r="146" spans="1:11">
      <c r="A146" s="42">
        <v>3</v>
      </c>
      <c r="B146" s="42">
        <v>2026</v>
      </c>
      <c r="C146" s="42">
        <v>138</v>
      </c>
      <c r="D146" s="41" t="str">
        <f t="shared" si="104"/>
        <v>As marcas daqueles que têm comunhão com Deus - 1 João
Não seja hospitaleiro com aqueles que rejeitam a verdade - 2 João
Seja hospitaleiro com aqueles que proclamam a verdade - 3 João</v>
      </c>
      <c r="E146" s="41">
        <f t="shared" ref="E146" si="144">+E145+7</f>
        <v>46306</v>
      </c>
      <c r="F146" s="48" t="s">
        <v>406</v>
      </c>
      <c r="G146" s="41" t="s">
        <v>669</v>
      </c>
      <c r="H146" s="260"/>
      <c r="I146" s="41"/>
      <c r="J146" s="41" t="s">
        <v>227</v>
      </c>
      <c r="K146" s="42"/>
    </row>
    <row r="147" spans="1:11" ht="15.75" customHeight="1">
      <c r="A147" s="42">
        <v>3</v>
      </c>
      <c r="B147" s="42">
        <v>2026</v>
      </c>
      <c r="C147" s="42">
        <v>139</v>
      </c>
      <c r="D147" s="41" t="str">
        <f t="shared" si="104"/>
        <v>Cristo e os sete candeeiros (Ap 1-3)</v>
      </c>
      <c r="E147" s="41">
        <f t="shared" ref="E147" si="145">+E146+7</f>
        <v>46313</v>
      </c>
      <c r="F147" s="48" t="s">
        <v>412</v>
      </c>
      <c r="G147" s="41" t="s">
        <v>670</v>
      </c>
      <c r="H147" s="258"/>
      <c r="I147" s="41"/>
      <c r="J147" s="41" t="s">
        <v>227</v>
      </c>
      <c r="K147" s="42"/>
    </row>
    <row r="148" spans="1:11">
      <c r="A148" s="42">
        <v>3</v>
      </c>
      <c r="B148" s="42">
        <v>2026</v>
      </c>
      <c r="C148" s="42">
        <v>140</v>
      </c>
      <c r="D148" s="41" t="str">
        <f t="shared" si="104"/>
        <v>O Cordeiro e os sete selos (Ap 4-7)</v>
      </c>
      <c r="E148" s="41">
        <f t="shared" ref="E148" si="146">+E147+7</f>
        <v>46320</v>
      </c>
      <c r="F148" s="41" t="s">
        <v>671</v>
      </c>
      <c r="G148" s="41" t="s">
        <v>672</v>
      </c>
      <c r="H148" s="257" t="s">
        <v>673</v>
      </c>
      <c r="I148" s="41"/>
      <c r="J148" s="41" t="s">
        <v>227</v>
      </c>
      <c r="K148" s="42"/>
    </row>
    <row r="149" spans="1:11">
      <c r="A149" s="42">
        <v>3</v>
      </c>
      <c r="B149" s="42">
        <v>2026</v>
      </c>
      <c r="C149" s="42">
        <v>141</v>
      </c>
      <c r="D149" s="41" t="str">
        <f t="shared" si="104"/>
        <v>As sete trombetas (Ap 8-11)</v>
      </c>
      <c r="E149" s="41">
        <f t="shared" ref="E149" si="147">+E148+7</f>
        <v>46327</v>
      </c>
      <c r="F149" s="41" t="s">
        <v>674</v>
      </c>
      <c r="G149" s="41" t="s">
        <v>675</v>
      </c>
      <c r="H149" s="260"/>
      <c r="I149" s="41"/>
      <c r="J149" s="41" t="s">
        <v>227</v>
      </c>
      <c r="K149" s="42"/>
    </row>
    <row r="150" spans="1:11">
      <c r="A150" s="42">
        <v>3</v>
      </c>
      <c r="B150" s="42">
        <v>2026</v>
      </c>
      <c r="C150" s="42">
        <v>142</v>
      </c>
      <c r="D150" s="41" t="str">
        <f t="shared" si="104"/>
        <v>O dragão e as sete vozes (Ap 12-14)</v>
      </c>
      <c r="E150" s="41">
        <f t="shared" ref="E150" si="148">+E149+7</f>
        <v>46334</v>
      </c>
      <c r="F150" s="41" t="s">
        <v>676</v>
      </c>
      <c r="G150" s="41" t="s">
        <v>677</v>
      </c>
      <c r="H150" s="260"/>
      <c r="I150" s="41"/>
      <c r="J150" s="41" t="s">
        <v>227</v>
      </c>
      <c r="K150" s="42"/>
    </row>
    <row r="151" spans="1:11">
      <c r="A151" s="42">
        <v>3</v>
      </c>
      <c r="B151" s="42">
        <v>2026</v>
      </c>
      <c r="C151" s="42">
        <v>143</v>
      </c>
      <c r="D151" s="41" t="str">
        <f t="shared" si="104"/>
        <v xml:space="preserve">As sete taças (Ap 15-16) </v>
      </c>
      <c r="E151" s="41">
        <f t="shared" ref="E151" si="149">+E150+7</f>
        <v>46341</v>
      </c>
      <c r="F151" s="41" t="s">
        <v>678</v>
      </c>
      <c r="G151" s="41" t="s">
        <v>679</v>
      </c>
      <c r="H151" s="260"/>
      <c r="I151" s="41"/>
      <c r="J151" s="41" t="s">
        <v>227</v>
      </c>
      <c r="K151" s="42"/>
    </row>
    <row r="152" spans="1:11">
      <c r="A152" s="42">
        <v>3</v>
      </c>
      <c r="B152" s="42">
        <v>2026</v>
      </c>
      <c r="C152" s="42">
        <v>144</v>
      </c>
      <c r="D152" s="41" t="str">
        <f t="shared" si="104"/>
        <v>A destruição dos inimigos (Ap 17-19)</v>
      </c>
      <c r="E152" s="41">
        <f t="shared" ref="E152" si="150">+E151+7</f>
        <v>46348</v>
      </c>
      <c r="F152" s="41" t="s">
        <v>680</v>
      </c>
      <c r="G152" s="41" t="s">
        <v>681</v>
      </c>
      <c r="H152" s="260"/>
      <c r="I152" s="41"/>
      <c r="J152" s="41" t="s">
        <v>227</v>
      </c>
      <c r="K152" s="42"/>
    </row>
    <row r="153" spans="1:11">
      <c r="A153" s="42">
        <v>3</v>
      </c>
      <c r="B153" s="42">
        <v>2026</v>
      </c>
      <c r="C153" s="42">
        <v>145</v>
      </c>
      <c r="D153" s="41" t="str">
        <f t="shared" si="104"/>
        <v>As visões da consumação (Ap 20-22)</v>
      </c>
      <c r="E153" s="41">
        <f t="shared" ref="E153" si="151">+E152+7</f>
        <v>46355</v>
      </c>
      <c r="F153" s="41" t="s">
        <v>682</v>
      </c>
      <c r="G153" s="41" t="s">
        <v>683</v>
      </c>
      <c r="H153" s="260"/>
      <c r="I153" s="41"/>
      <c r="J153" s="41" t="s">
        <v>227</v>
      </c>
      <c r="K153" s="42"/>
    </row>
    <row r="154" spans="1:11">
      <c r="A154" s="42">
        <v>3</v>
      </c>
      <c r="B154" s="42">
        <v>2026</v>
      </c>
      <c r="C154" s="42">
        <v>49</v>
      </c>
      <c r="D154" s="41" t="s">
        <v>574</v>
      </c>
      <c r="E154" s="41">
        <f t="shared" ref="E154" si="152">+E153+7</f>
        <v>46362</v>
      </c>
      <c r="F154" s="41" t="s">
        <v>684</v>
      </c>
      <c r="G154" s="41" t="s">
        <v>685</v>
      </c>
      <c r="H154" s="258"/>
      <c r="I154" s="41"/>
      <c r="J154" s="41" t="s">
        <v>227</v>
      </c>
      <c r="K154" s="42"/>
    </row>
    <row r="155" spans="1:11">
      <c r="A155" s="42">
        <v>3</v>
      </c>
      <c r="B155" s="42">
        <v>2026</v>
      </c>
      <c r="C155" s="42">
        <v>50</v>
      </c>
      <c r="D155" s="42" t="s">
        <v>427</v>
      </c>
      <c r="E155" s="41">
        <f t="shared" ref="E155" si="153">+E154+7</f>
        <v>46369</v>
      </c>
      <c r="F155" s="3" t="s">
        <v>427</v>
      </c>
      <c r="G155" s="41"/>
      <c r="H155" s="41"/>
      <c r="I155" s="41"/>
      <c r="J155" s="42"/>
      <c r="K155" s="42"/>
    </row>
    <row r="156" spans="1:11">
      <c r="A156" s="42">
        <v>3</v>
      </c>
      <c r="B156" s="42">
        <v>2026</v>
      </c>
      <c r="C156" s="42">
        <v>51</v>
      </c>
      <c r="D156" s="42"/>
      <c r="E156" s="41">
        <f t="shared" ref="E156" si="154">+E155+7</f>
        <v>46376</v>
      </c>
      <c r="F156" s="3" t="s">
        <v>429</v>
      </c>
      <c r="G156" s="41"/>
      <c r="H156" s="41"/>
      <c r="I156" s="41"/>
      <c r="J156" s="42"/>
      <c r="K156" s="42"/>
    </row>
    <row r="157" spans="1:11">
      <c r="A157" s="42">
        <v>3</v>
      </c>
      <c r="B157" s="42">
        <v>2026</v>
      </c>
      <c r="C157" s="42">
        <v>52</v>
      </c>
      <c r="D157" s="42"/>
      <c r="E157" s="41">
        <f t="shared" ref="E157" si="155">+E156+7</f>
        <v>46383</v>
      </c>
      <c r="F157" s="3" t="s">
        <v>430</v>
      </c>
      <c r="G157" s="41"/>
      <c r="H157" s="41"/>
      <c r="I157" s="41"/>
      <c r="J157" s="42"/>
      <c r="K157" s="42"/>
    </row>
    <row r="158" spans="1:11">
      <c r="F158" s="47"/>
      <c r="G158" s="47"/>
      <c r="I158" s="47"/>
    </row>
  </sheetData>
  <mergeCells count="31">
    <mergeCell ref="A1:B1"/>
    <mergeCell ref="H12:H16"/>
    <mergeCell ref="H8:H11"/>
    <mergeCell ref="H17:H20"/>
    <mergeCell ref="H21:H24"/>
    <mergeCell ref="H25:H30"/>
    <mergeCell ref="H31:H33"/>
    <mergeCell ref="H34:H36"/>
    <mergeCell ref="H37:H38"/>
    <mergeCell ref="H39:H42"/>
    <mergeCell ref="H87:H91"/>
    <mergeCell ref="H43:H44"/>
    <mergeCell ref="H45:H46"/>
    <mergeCell ref="H47:H48"/>
    <mergeCell ref="H49:H50"/>
    <mergeCell ref="H148:H154"/>
    <mergeCell ref="H54:H61"/>
    <mergeCell ref="H2:H7"/>
    <mergeCell ref="H123:H128"/>
    <mergeCell ref="H129:H137"/>
    <mergeCell ref="H138:H141"/>
    <mergeCell ref="H142:H143"/>
    <mergeCell ref="H144:H147"/>
    <mergeCell ref="H92:H94"/>
    <mergeCell ref="H95:H101"/>
    <mergeCell ref="H106:H114"/>
    <mergeCell ref="H115:H118"/>
    <mergeCell ref="H120:H122"/>
    <mergeCell ref="H64:H67"/>
    <mergeCell ref="H68:H73"/>
    <mergeCell ref="H74:H86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EEC5-7098-4B93-AB62-229BA1F5D1E4}">
  <dimension ref="A1:M158"/>
  <sheetViews>
    <sheetView showGridLines="0" zoomScale="130" zoomScaleNormal="130" workbookViewId="0">
      <pane xSplit="3" ySplit="1" topLeftCell="H103" activePane="bottomRight" state="frozen"/>
      <selection pane="bottomRight" activeCell="D1" sqref="D1"/>
      <selection pane="bottomLeft" activeCell="D1" sqref="D1"/>
      <selection pane="topRight" activeCell="D1" sqref="D1"/>
    </sheetView>
  </sheetViews>
  <sheetFormatPr defaultRowHeight="14.45"/>
  <cols>
    <col min="1" max="1" width="2" bestFit="1" customWidth="1"/>
    <col min="3" max="3" width="4" bestFit="1" customWidth="1"/>
    <col min="4" max="4" width="37.85546875" customWidth="1"/>
    <col min="5" max="5" width="24.140625" customWidth="1"/>
    <col min="6" max="6" width="11.42578125" customWidth="1"/>
    <col min="7" max="7" width="3" bestFit="1" customWidth="1"/>
    <col min="8" max="8" width="38.5703125" customWidth="1"/>
    <col min="9" max="9" width="24.42578125" customWidth="1"/>
    <col min="10" max="10" width="11.42578125" customWidth="1"/>
    <col min="11" max="11" width="23.5703125" customWidth="1"/>
    <col min="12" max="12" width="7.42578125" customWidth="1"/>
    <col min="13" max="13" width="44.42578125" bestFit="1" customWidth="1"/>
  </cols>
  <sheetData>
    <row r="1" spans="1:13" s="1" customFormat="1">
      <c r="A1" s="278" t="s">
        <v>432</v>
      </c>
      <c r="B1" s="278"/>
      <c r="C1" s="74" t="s">
        <v>433</v>
      </c>
      <c r="D1" s="75" t="s">
        <v>434</v>
      </c>
      <c r="E1" s="76" t="s">
        <v>437</v>
      </c>
      <c r="F1" s="79" t="s">
        <v>435</v>
      </c>
      <c r="G1" s="77" t="s">
        <v>433</v>
      </c>
      <c r="H1" s="78" t="s">
        <v>436</v>
      </c>
      <c r="I1" s="78" t="s">
        <v>437</v>
      </c>
      <c r="J1" s="2" t="s">
        <v>438</v>
      </c>
      <c r="K1" s="2" t="s">
        <v>439</v>
      </c>
      <c r="L1" s="2" t="s">
        <v>6</v>
      </c>
      <c r="M1" s="2" t="s">
        <v>440</v>
      </c>
    </row>
    <row r="2" spans="1:13">
      <c r="A2" s="42">
        <v>1</v>
      </c>
      <c r="B2" s="42">
        <v>2024</v>
      </c>
      <c r="C2" s="57">
        <v>1</v>
      </c>
      <c r="D2" s="57" t="s">
        <v>441</v>
      </c>
      <c r="E2" s="61"/>
      <c r="F2" s="69">
        <v>45298</v>
      </c>
      <c r="G2" s="67"/>
      <c r="H2" s="57" t="s">
        <v>442</v>
      </c>
      <c r="I2" s="59"/>
      <c r="J2" s="257" t="s">
        <v>443</v>
      </c>
      <c r="K2" s="2"/>
      <c r="L2" s="42" t="s">
        <v>11</v>
      </c>
      <c r="M2" s="42" t="s">
        <v>444</v>
      </c>
    </row>
    <row r="3" spans="1:13">
      <c r="A3" s="42">
        <v>1</v>
      </c>
      <c r="B3" s="42">
        <v>2024</v>
      </c>
      <c r="C3" s="57">
        <v>2</v>
      </c>
      <c r="D3" s="57" t="s">
        <v>445</v>
      </c>
      <c r="E3" s="61"/>
      <c r="F3" s="69">
        <f>+F2+7</f>
        <v>45305</v>
      </c>
      <c r="G3" s="67"/>
      <c r="H3" s="57" t="s">
        <v>446</v>
      </c>
      <c r="I3" s="57" t="s">
        <v>447</v>
      </c>
      <c r="J3" s="260"/>
      <c r="K3" s="2"/>
      <c r="L3" s="42" t="s">
        <v>11</v>
      </c>
      <c r="M3" s="42" t="s">
        <v>444</v>
      </c>
    </row>
    <row r="4" spans="1:13">
      <c r="A4" s="42">
        <v>1</v>
      </c>
      <c r="B4" s="42">
        <v>2024</v>
      </c>
      <c r="C4" s="57">
        <v>3</v>
      </c>
      <c r="D4" s="57" t="s">
        <v>448</v>
      </c>
      <c r="E4" s="61"/>
      <c r="F4" s="69">
        <f t="shared" ref="F4:F67" si="0">+F3+7</f>
        <v>45312</v>
      </c>
      <c r="G4" s="67"/>
      <c r="H4" s="57" t="s">
        <v>449</v>
      </c>
      <c r="I4" s="57" t="s">
        <v>450</v>
      </c>
      <c r="J4" s="260"/>
      <c r="K4" s="2"/>
      <c r="L4" s="42" t="s">
        <v>11</v>
      </c>
      <c r="M4" s="42"/>
    </row>
    <row r="5" spans="1:13">
      <c r="A5" s="42">
        <v>1</v>
      </c>
      <c r="B5" s="42">
        <v>2024</v>
      </c>
      <c r="C5" s="57">
        <v>4</v>
      </c>
      <c r="D5" s="57" t="s">
        <v>451</v>
      </c>
      <c r="E5" s="61"/>
      <c r="F5" s="69">
        <f t="shared" si="0"/>
        <v>45319</v>
      </c>
      <c r="G5" s="67"/>
      <c r="H5" s="57" t="s">
        <v>452</v>
      </c>
      <c r="I5" s="57" t="s">
        <v>453</v>
      </c>
      <c r="J5" s="260"/>
      <c r="K5" s="2"/>
      <c r="L5" s="42" t="s">
        <v>11</v>
      </c>
      <c r="M5" s="42"/>
    </row>
    <row r="6" spans="1:13">
      <c r="A6" s="42">
        <v>1</v>
      </c>
      <c r="B6" s="42">
        <v>2024</v>
      </c>
      <c r="C6" s="57">
        <v>5</v>
      </c>
      <c r="D6" s="57" t="s">
        <v>454</v>
      </c>
      <c r="E6" s="61"/>
      <c r="F6" s="69">
        <f t="shared" si="0"/>
        <v>45326</v>
      </c>
      <c r="G6" s="67"/>
      <c r="H6" s="57" t="s">
        <v>455</v>
      </c>
      <c r="I6" s="57" t="s">
        <v>456</v>
      </c>
      <c r="J6" s="260"/>
      <c r="K6" s="2"/>
      <c r="L6" s="42" t="s">
        <v>11</v>
      </c>
      <c r="M6" s="42"/>
    </row>
    <row r="7" spans="1:13">
      <c r="A7" s="42">
        <v>1</v>
      </c>
      <c r="B7" s="42">
        <v>2024</v>
      </c>
      <c r="C7" s="57">
        <v>1</v>
      </c>
      <c r="D7" s="57" t="s">
        <v>457</v>
      </c>
      <c r="E7" s="62" t="s">
        <v>462</v>
      </c>
      <c r="F7" s="69">
        <f t="shared" si="0"/>
        <v>45333</v>
      </c>
      <c r="G7" s="67"/>
      <c r="H7" s="59" t="s">
        <v>458</v>
      </c>
      <c r="I7" s="57" t="s">
        <v>459</v>
      </c>
      <c r="J7" s="258"/>
      <c r="K7" s="2"/>
      <c r="L7" s="42" t="s">
        <v>11</v>
      </c>
      <c r="M7" s="42" t="s">
        <v>460</v>
      </c>
    </row>
    <row r="8" spans="1:13">
      <c r="A8" s="42">
        <v>1</v>
      </c>
      <c r="B8" s="42">
        <v>2024</v>
      </c>
      <c r="C8" s="57">
        <v>2</v>
      </c>
      <c r="D8" s="57" t="s">
        <v>461</v>
      </c>
      <c r="E8" s="61" t="s">
        <v>465</v>
      </c>
      <c r="F8" s="69">
        <f t="shared" si="0"/>
        <v>45340</v>
      </c>
      <c r="G8" s="67">
        <f t="shared" ref="G8:G21" si="1">C7</f>
        <v>1</v>
      </c>
      <c r="H8" s="58" t="str">
        <f t="shared" ref="H8:H21" si="2">D7</f>
        <v>Criação</v>
      </c>
      <c r="I8" s="58" t="str">
        <f t="shared" ref="I8:I21" si="3">E7</f>
        <v>Gn 1-2</v>
      </c>
      <c r="J8" s="257" t="s">
        <v>457</v>
      </c>
      <c r="K8" s="41" t="s">
        <v>463</v>
      </c>
      <c r="L8" s="42" t="s">
        <v>11</v>
      </c>
      <c r="M8" s="42"/>
    </row>
    <row r="9" spans="1:13">
      <c r="A9" s="42">
        <v>1</v>
      </c>
      <c r="B9" s="42">
        <v>2024</v>
      </c>
      <c r="C9" s="57">
        <v>3</v>
      </c>
      <c r="D9" s="57" t="s">
        <v>464</v>
      </c>
      <c r="E9" s="62" t="s">
        <v>468</v>
      </c>
      <c r="F9" s="69">
        <f t="shared" si="0"/>
        <v>45347</v>
      </c>
      <c r="G9" s="67">
        <f t="shared" si="1"/>
        <v>2</v>
      </c>
      <c r="H9" s="58" t="str">
        <f t="shared" si="2"/>
        <v>Queda</v>
      </c>
      <c r="I9" s="58" t="str">
        <f t="shared" si="3"/>
        <v>Gn 3-4</v>
      </c>
      <c r="J9" s="260"/>
      <c r="K9" s="42" t="s">
        <v>466</v>
      </c>
      <c r="L9" s="42" t="s">
        <v>11</v>
      </c>
      <c r="M9" s="42"/>
    </row>
    <row r="10" spans="1:13">
      <c r="A10" s="42">
        <v>1</v>
      </c>
      <c r="B10" s="42">
        <v>2024</v>
      </c>
      <c r="C10" s="57">
        <v>4</v>
      </c>
      <c r="D10" s="57" t="s">
        <v>467</v>
      </c>
      <c r="E10" s="62" t="s">
        <v>471</v>
      </c>
      <c r="F10" s="69">
        <f t="shared" si="0"/>
        <v>45354</v>
      </c>
      <c r="G10" s="67">
        <f t="shared" si="1"/>
        <v>3</v>
      </c>
      <c r="H10" s="58" t="str">
        <f t="shared" si="2"/>
        <v xml:space="preserve">Dilúvio </v>
      </c>
      <c r="I10" s="58" t="str">
        <f t="shared" si="3"/>
        <v>Gn 6-9</v>
      </c>
      <c r="J10" s="260"/>
      <c r="K10" s="41" t="s">
        <v>469</v>
      </c>
      <c r="L10" s="42" t="s">
        <v>11</v>
      </c>
      <c r="M10" s="42"/>
    </row>
    <row r="11" spans="1:13">
      <c r="A11" s="42">
        <v>1</v>
      </c>
      <c r="B11" s="42">
        <v>2024</v>
      </c>
      <c r="C11" s="57">
        <v>5</v>
      </c>
      <c r="D11" s="57" t="s">
        <v>470</v>
      </c>
      <c r="E11" s="62" t="s">
        <v>474</v>
      </c>
      <c r="F11" s="69">
        <f t="shared" si="0"/>
        <v>45361</v>
      </c>
      <c r="G11" s="67">
        <f t="shared" si="1"/>
        <v>4</v>
      </c>
      <c r="H11" s="58" t="str">
        <f t="shared" si="2"/>
        <v>Torre de Babel</v>
      </c>
      <c r="I11" s="58" t="str">
        <f t="shared" si="3"/>
        <v>Gn 11</v>
      </c>
      <c r="J11" s="258"/>
      <c r="K11" s="41" t="s">
        <v>472</v>
      </c>
      <c r="L11" s="42" t="s">
        <v>11</v>
      </c>
      <c r="M11" s="42"/>
    </row>
    <row r="12" spans="1:13">
      <c r="A12" s="42">
        <v>1</v>
      </c>
      <c r="B12" s="42">
        <v>2024</v>
      </c>
      <c r="C12" s="57">
        <v>6</v>
      </c>
      <c r="D12" s="57" t="s">
        <v>473</v>
      </c>
      <c r="E12" s="62" t="s">
        <v>476</v>
      </c>
      <c r="F12" s="69">
        <f t="shared" si="0"/>
        <v>45368</v>
      </c>
      <c r="G12" s="67">
        <f t="shared" si="1"/>
        <v>5</v>
      </c>
      <c r="H12" s="58" t="str">
        <f t="shared" si="2"/>
        <v>Aliança com Abraão</v>
      </c>
      <c r="I12" s="58" t="str">
        <f t="shared" si="3"/>
        <v>Gn 12;15;17</v>
      </c>
      <c r="J12" s="257" t="s">
        <v>22</v>
      </c>
      <c r="K12" s="41"/>
      <c r="L12" s="42" t="s">
        <v>11</v>
      </c>
      <c r="M12" s="42"/>
    </row>
    <row r="13" spans="1:13">
      <c r="A13" s="42">
        <v>1</v>
      </c>
      <c r="B13" s="42">
        <v>2024</v>
      </c>
      <c r="C13" s="57"/>
      <c r="D13" s="59" t="s">
        <v>475</v>
      </c>
      <c r="E13" s="63"/>
      <c r="F13" s="69">
        <f t="shared" si="0"/>
        <v>45375</v>
      </c>
      <c r="G13" s="67">
        <f t="shared" si="1"/>
        <v>6</v>
      </c>
      <c r="H13" s="58" t="str">
        <f t="shared" si="2"/>
        <v>O nascimento de Isaque</v>
      </c>
      <c r="I13" s="58" t="str">
        <f t="shared" si="3"/>
        <v>Gn 21-22; Hb 11.17-19</v>
      </c>
      <c r="J13" s="260"/>
      <c r="K13" s="41"/>
      <c r="L13" s="42" t="s">
        <v>11</v>
      </c>
      <c r="M13" s="42"/>
    </row>
    <row r="14" spans="1:13">
      <c r="A14" s="42">
        <v>1</v>
      </c>
      <c r="B14" s="42">
        <v>2024</v>
      </c>
      <c r="C14" s="57">
        <v>7</v>
      </c>
      <c r="D14" s="57" t="s">
        <v>477</v>
      </c>
      <c r="E14" s="62" t="s">
        <v>479</v>
      </c>
      <c r="F14" s="70">
        <f t="shared" si="0"/>
        <v>45382</v>
      </c>
      <c r="G14" s="67">
        <f t="shared" si="1"/>
        <v>0</v>
      </c>
      <c r="H14" s="60" t="str">
        <f t="shared" si="2"/>
        <v>Domingo de Páscoa</v>
      </c>
      <c r="I14" s="60"/>
      <c r="J14" s="260"/>
      <c r="K14" s="3"/>
      <c r="L14" s="42" t="s">
        <v>11</v>
      </c>
      <c r="M14" s="42"/>
    </row>
    <row r="15" spans="1:13">
      <c r="A15" s="42">
        <v>1</v>
      </c>
      <c r="B15" s="42">
        <v>2024</v>
      </c>
      <c r="C15" s="57">
        <v>8</v>
      </c>
      <c r="D15" s="57" t="s">
        <v>478</v>
      </c>
      <c r="E15" s="62" t="s">
        <v>481</v>
      </c>
      <c r="F15" s="69">
        <f t="shared" si="0"/>
        <v>45389</v>
      </c>
      <c r="G15" s="67">
        <f t="shared" si="1"/>
        <v>7</v>
      </c>
      <c r="H15" s="58" t="str">
        <f t="shared" si="2"/>
        <v>O casamento de Isaque</v>
      </c>
      <c r="I15" s="58" t="str">
        <f t="shared" si="3"/>
        <v>Gn 24</v>
      </c>
      <c r="J15" s="260"/>
      <c r="K15" s="41"/>
      <c r="L15" s="42" t="s">
        <v>11</v>
      </c>
      <c r="M15" s="42"/>
    </row>
    <row r="16" spans="1:13">
      <c r="A16" s="42">
        <v>1</v>
      </c>
      <c r="B16" s="42">
        <v>2024</v>
      </c>
      <c r="C16" s="57">
        <v>9</v>
      </c>
      <c r="D16" s="57" t="s">
        <v>480</v>
      </c>
      <c r="E16" s="62" t="s">
        <v>484</v>
      </c>
      <c r="F16" s="69">
        <f t="shared" si="0"/>
        <v>45396</v>
      </c>
      <c r="G16" s="67">
        <f t="shared" si="1"/>
        <v>8</v>
      </c>
      <c r="H16" s="58" t="str">
        <f t="shared" si="2"/>
        <v>Esaú e Jacó (nascimento e conflito)</v>
      </c>
      <c r="I16" s="58" t="str">
        <f t="shared" si="3"/>
        <v>Gn 25.19 - 28</v>
      </c>
      <c r="J16" s="258"/>
      <c r="K16" s="41" t="s">
        <v>482</v>
      </c>
      <c r="L16" s="42" t="s">
        <v>11</v>
      </c>
      <c r="M16" s="42"/>
    </row>
    <row r="17" spans="1:13">
      <c r="A17" s="42">
        <v>1</v>
      </c>
      <c r="B17" s="42">
        <v>2024</v>
      </c>
      <c r="C17" s="57">
        <v>10</v>
      </c>
      <c r="D17" s="57" t="s">
        <v>483</v>
      </c>
      <c r="E17" s="62" t="s">
        <v>486</v>
      </c>
      <c r="F17" s="69">
        <f t="shared" si="0"/>
        <v>45403</v>
      </c>
      <c r="G17" s="67">
        <f t="shared" si="1"/>
        <v>9</v>
      </c>
      <c r="H17" s="58" t="str">
        <f t="shared" si="2"/>
        <v>Os casamentos de Jacó</v>
      </c>
      <c r="I17" s="58" t="str">
        <f t="shared" si="3"/>
        <v>Gn 29-31</v>
      </c>
      <c r="J17" s="257" t="s">
        <v>32</v>
      </c>
      <c r="K17" s="41"/>
      <c r="L17" s="42" t="s">
        <v>11</v>
      </c>
      <c r="M17" s="42"/>
    </row>
    <row r="18" spans="1:13">
      <c r="A18" s="42">
        <v>1</v>
      </c>
      <c r="B18" s="42">
        <v>2024</v>
      </c>
      <c r="C18" s="57">
        <v>11</v>
      </c>
      <c r="D18" s="57" t="s">
        <v>485</v>
      </c>
      <c r="E18" s="62" t="s">
        <v>489</v>
      </c>
      <c r="F18" s="69">
        <f t="shared" si="0"/>
        <v>45410</v>
      </c>
      <c r="G18" s="67">
        <f t="shared" si="1"/>
        <v>10</v>
      </c>
      <c r="H18" s="58" t="str">
        <f t="shared" si="2"/>
        <v>Esaú e Jacó (reconciliação)</v>
      </c>
      <c r="I18" s="58" t="str">
        <f t="shared" si="3"/>
        <v>Gn 32, 33 e 35</v>
      </c>
      <c r="J18" s="260"/>
      <c r="K18" s="41" t="s">
        <v>487</v>
      </c>
      <c r="L18" s="42" t="s">
        <v>11</v>
      </c>
      <c r="M18" s="42"/>
    </row>
    <row r="19" spans="1:13">
      <c r="A19" s="42">
        <v>1</v>
      </c>
      <c r="B19" s="42">
        <v>2024</v>
      </c>
      <c r="C19" s="57">
        <v>12</v>
      </c>
      <c r="D19" s="57" t="s">
        <v>488</v>
      </c>
      <c r="E19" s="62" t="s">
        <v>492</v>
      </c>
      <c r="F19" s="69">
        <f t="shared" si="0"/>
        <v>45417</v>
      </c>
      <c r="G19" s="67">
        <f t="shared" si="1"/>
        <v>11</v>
      </c>
      <c r="H19" s="58" t="str">
        <f t="shared" si="2"/>
        <v>José vai para  Egito</v>
      </c>
      <c r="I19" s="58" t="str">
        <f t="shared" si="3"/>
        <v>Gn 37, 39</v>
      </c>
      <c r="J19" s="260"/>
      <c r="K19" s="41" t="s">
        <v>490</v>
      </c>
      <c r="L19" s="42" t="s">
        <v>11</v>
      </c>
      <c r="M19" s="42"/>
    </row>
    <row r="20" spans="1:13">
      <c r="A20" s="42">
        <v>1</v>
      </c>
      <c r="B20" s="42">
        <v>2024</v>
      </c>
      <c r="C20" s="57">
        <v>13</v>
      </c>
      <c r="D20" s="57" t="s">
        <v>491</v>
      </c>
      <c r="E20" s="62" t="s">
        <v>495</v>
      </c>
      <c r="F20" s="69">
        <f t="shared" si="0"/>
        <v>45424</v>
      </c>
      <c r="G20" s="67">
        <f t="shared" si="1"/>
        <v>12</v>
      </c>
      <c r="H20" s="58" t="str">
        <f t="shared" si="2"/>
        <v>José no Egito</v>
      </c>
      <c r="I20" s="58" t="str">
        <f t="shared" si="3"/>
        <v>Gn 40-41</v>
      </c>
      <c r="J20" s="258"/>
      <c r="K20" s="41" t="s">
        <v>493</v>
      </c>
      <c r="L20" s="42" t="s">
        <v>11</v>
      </c>
      <c r="M20" s="42"/>
    </row>
    <row r="21" spans="1:13">
      <c r="A21" s="42">
        <v>1</v>
      </c>
      <c r="B21" s="42">
        <v>2024</v>
      </c>
      <c r="C21" s="57">
        <v>14</v>
      </c>
      <c r="D21" s="57" t="s">
        <v>494</v>
      </c>
      <c r="E21" s="62" t="s">
        <v>497</v>
      </c>
      <c r="F21" s="69">
        <f t="shared" si="0"/>
        <v>45431</v>
      </c>
      <c r="G21" s="67">
        <f t="shared" si="1"/>
        <v>13</v>
      </c>
      <c r="H21" s="58" t="str">
        <f t="shared" si="2"/>
        <v>Família de José vai ao Egito</v>
      </c>
      <c r="I21" s="58" t="str">
        <f t="shared" si="3"/>
        <v>Gn 42-50</v>
      </c>
      <c r="J21" s="257" t="s">
        <v>42</v>
      </c>
      <c r="K21" s="41"/>
      <c r="L21" s="42" t="s">
        <v>11</v>
      </c>
      <c r="M21" s="42"/>
    </row>
    <row r="22" spans="1:13">
      <c r="A22" s="42">
        <v>1</v>
      </c>
      <c r="B22" s="42">
        <v>2024</v>
      </c>
      <c r="C22" s="57">
        <v>15</v>
      </c>
      <c r="D22" s="57" t="s">
        <v>498</v>
      </c>
      <c r="E22" s="62" t="s">
        <v>499</v>
      </c>
      <c r="F22" s="69">
        <f t="shared" si="0"/>
        <v>45438</v>
      </c>
      <c r="G22" s="67">
        <f>C21</f>
        <v>14</v>
      </c>
      <c r="H22" s="58" t="str">
        <f>D21</f>
        <v>Nascimento e chamado de Moisés</v>
      </c>
      <c r="I22" s="58" t="str">
        <f>E21</f>
        <v>Ex 1 - 4</v>
      </c>
      <c r="J22" s="260"/>
      <c r="K22" s="41"/>
      <c r="L22" s="42" t="s">
        <v>11</v>
      </c>
      <c r="M22" s="42"/>
    </row>
    <row r="23" spans="1:13">
      <c r="A23" s="42">
        <v>1</v>
      </c>
      <c r="B23" s="42">
        <v>2024</v>
      </c>
      <c r="C23" s="57">
        <v>16</v>
      </c>
      <c r="D23" s="57" t="s">
        <v>500</v>
      </c>
      <c r="E23" s="62" t="s">
        <v>504</v>
      </c>
      <c r="F23" s="69">
        <f t="shared" si="0"/>
        <v>45445</v>
      </c>
      <c r="G23" s="67">
        <f t="shared" ref="G23:G24" si="4">C22</f>
        <v>15</v>
      </c>
      <c r="H23" s="58" t="str">
        <f t="shared" ref="H23:H24" si="5">D22</f>
        <v>Saída do Egito (libertação)</v>
      </c>
      <c r="I23" s="58" t="str">
        <f t="shared" ref="I23:I24" si="6">E22</f>
        <v>Ex 5-12.36</v>
      </c>
      <c r="J23" s="260"/>
      <c r="K23" s="41"/>
      <c r="L23" s="42" t="s">
        <v>11</v>
      </c>
      <c r="M23" s="42"/>
    </row>
    <row r="24" spans="1:13">
      <c r="A24" s="42">
        <v>1</v>
      </c>
      <c r="B24" s="42">
        <v>2024</v>
      </c>
      <c r="C24" s="57">
        <v>17</v>
      </c>
      <c r="D24" s="57" t="s">
        <v>503</v>
      </c>
      <c r="E24" s="62" t="s">
        <v>508</v>
      </c>
      <c r="F24" s="69">
        <f t="shared" si="0"/>
        <v>45452</v>
      </c>
      <c r="G24" s="67">
        <f t="shared" si="4"/>
        <v>16</v>
      </c>
      <c r="H24" s="58" t="str">
        <f t="shared" si="5"/>
        <v>Travessia do Mar Vermelho (livres para adorar)</v>
      </c>
      <c r="I24" s="58" t="str">
        <f t="shared" si="6"/>
        <v>Ex 14-15</v>
      </c>
      <c r="J24" s="258"/>
      <c r="K24" s="41" t="s">
        <v>502</v>
      </c>
      <c r="L24" s="42" t="s">
        <v>11</v>
      </c>
      <c r="M24" s="42"/>
    </row>
    <row r="25" spans="1:13">
      <c r="A25" s="42">
        <v>1</v>
      </c>
      <c r="B25" s="42">
        <v>2024</v>
      </c>
      <c r="C25" s="80">
        <v>18</v>
      </c>
      <c r="D25" s="58" t="s">
        <v>507</v>
      </c>
      <c r="E25" s="62" t="s">
        <v>510</v>
      </c>
      <c r="F25" s="69">
        <f t="shared" si="0"/>
        <v>45459</v>
      </c>
      <c r="G25" s="67">
        <f t="shared" ref="G25:G35" si="7">C24</f>
        <v>17</v>
      </c>
      <c r="H25" s="58" t="str">
        <f t="shared" ref="H25:H35" si="8">D24</f>
        <v>Sustento no deserto - o Maná (providência)</v>
      </c>
      <c r="I25" s="58" t="str">
        <f t="shared" ref="I25:I35" si="9">E24</f>
        <v>Ex 15.22-17</v>
      </c>
      <c r="J25" s="257" t="s">
        <v>62</v>
      </c>
      <c r="K25" s="41" t="s">
        <v>505</v>
      </c>
      <c r="L25" s="42" t="s">
        <v>11</v>
      </c>
      <c r="M25" s="41" t="s">
        <v>506</v>
      </c>
    </row>
    <row r="26" spans="1:13">
      <c r="A26" s="42">
        <v>1</v>
      </c>
      <c r="B26" s="42">
        <v>2024</v>
      </c>
      <c r="C26" s="57">
        <v>19</v>
      </c>
      <c r="D26" s="58" t="s">
        <v>509</v>
      </c>
      <c r="E26" s="62" t="s">
        <v>686</v>
      </c>
      <c r="F26" s="69">
        <f t="shared" si="0"/>
        <v>45466</v>
      </c>
      <c r="G26" s="67">
        <f t="shared" si="7"/>
        <v>18</v>
      </c>
      <c r="H26" s="58" t="str">
        <f t="shared" si="8"/>
        <v>A visita de Jetro a Moisés (governo)</v>
      </c>
      <c r="I26" s="58" t="str">
        <f t="shared" si="9"/>
        <v>Ex 18</v>
      </c>
      <c r="J26" s="260"/>
      <c r="K26" s="41"/>
      <c r="L26" s="42" t="s">
        <v>11</v>
      </c>
      <c r="M26" s="42"/>
    </row>
    <row r="27" spans="1:13">
      <c r="A27" s="42">
        <v>1</v>
      </c>
      <c r="B27" s="42">
        <v>2024</v>
      </c>
      <c r="C27" s="80">
        <v>20</v>
      </c>
      <c r="D27" s="58" t="s">
        <v>512</v>
      </c>
      <c r="E27" s="62" t="s">
        <v>686</v>
      </c>
      <c r="F27" s="69">
        <f t="shared" si="0"/>
        <v>45473</v>
      </c>
      <c r="G27" s="67">
        <f t="shared" si="7"/>
        <v>19</v>
      </c>
      <c r="H27" s="58" t="str">
        <f t="shared" si="8"/>
        <v>Os 10 mandamentos (Lei) - parte 1</v>
      </c>
      <c r="I27" s="58" t="str">
        <f t="shared" si="9"/>
        <v>Ex 19-20 + Dt 6 a 26</v>
      </c>
      <c r="J27" s="260"/>
      <c r="K27" s="41" t="s">
        <v>511</v>
      </c>
      <c r="L27" s="42" t="s">
        <v>11</v>
      </c>
      <c r="M27" s="42"/>
    </row>
    <row r="28" spans="1:13">
      <c r="A28" s="42">
        <v>1</v>
      </c>
      <c r="B28" s="42">
        <v>2024</v>
      </c>
      <c r="C28" s="57">
        <v>21</v>
      </c>
      <c r="D28" s="58" t="s">
        <v>515</v>
      </c>
      <c r="E28" s="62" t="s">
        <v>79</v>
      </c>
      <c r="F28" s="69">
        <f t="shared" si="0"/>
        <v>45480</v>
      </c>
      <c r="G28" s="67">
        <f t="shared" si="7"/>
        <v>20</v>
      </c>
      <c r="H28" s="58" t="str">
        <f t="shared" si="8"/>
        <v>Os 10 mandamentos (Lei) - parte 2</v>
      </c>
      <c r="I28" s="58" t="str">
        <f t="shared" si="9"/>
        <v>Ex 19-20 + Dt 6 a 26</v>
      </c>
      <c r="J28" s="260"/>
      <c r="K28" s="41" t="s">
        <v>514</v>
      </c>
      <c r="L28" s="42" t="s">
        <v>11</v>
      </c>
      <c r="M28" s="42"/>
    </row>
    <row r="29" spans="1:13">
      <c r="A29" s="42">
        <v>1</v>
      </c>
      <c r="B29" s="42">
        <v>2024</v>
      </c>
      <c r="C29" s="80">
        <v>22</v>
      </c>
      <c r="D29" s="58" t="s">
        <v>517</v>
      </c>
      <c r="E29" s="62" t="s">
        <v>519</v>
      </c>
      <c r="F29" s="69">
        <f t="shared" si="0"/>
        <v>45487</v>
      </c>
      <c r="G29" s="67">
        <f t="shared" si="7"/>
        <v>21</v>
      </c>
      <c r="H29" s="58" t="str">
        <f t="shared" si="8"/>
        <v>O Bezerro de Ouro (idolatria)</v>
      </c>
      <c r="I29" s="58" t="str">
        <f t="shared" si="9"/>
        <v>Ex 32; 34 e Lv</v>
      </c>
      <c r="J29" s="260"/>
      <c r="K29" s="41" t="s">
        <v>516</v>
      </c>
      <c r="L29" s="42" t="s">
        <v>11</v>
      </c>
      <c r="M29" s="42"/>
    </row>
    <row r="30" spans="1:13">
      <c r="A30" s="42">
        <v>1</v>
      </c>
      <c r="B30" s="42">
        <v>2024</v>
      </c>
      <c r="C30" s="57">
        <v>23</v>
      </c>
      <c r="D30" s="58" t="s">
        <v>518</v>
      </c>
      <c r="E30" s="62" t="s">
        <v>519</v>
      </c>
      <c r="F30" s="69">
        <f t="shared" si="0"/>
        <v>45494</v>
      </c>
      <c r="G30" s="67">
        <f t="shared" si="7"/>
        <v>22</v>
      </c>
      <c r="H30" s="58" t="str">
        <f t="shared" si="8"/>
        <v>O Tabernáculo (presença de Deus) - parte 1</v>
      </c>
      <c r="I30" s="58" t="str">
        <f t="shared" si="9"/>
        <v>Ex 35-40</v>
      </c>
      <c r="J30" s="258"/>
      <c r="K30" s="41"/>
      <c r="L30" s="42" t="s">
        <v>11</v>
      </c>
      <c r="M30" s="42"/>
    </row>
    <row r="31" spans="1:13">
      <c r="A31" s="42">
        <v>1</v>
      </c>
      <c r="B31" s="42">
        <v>2024</v>
      </c>
      <c r="C31" s="80">
        <v>24</v>
      </c>
      <c r="D31" s="58" t="s">
        <v>522</v>
      </c>
      <c r="E31" s="62" t="s">
        <v>524</v>
      </c>
      <c r="F31" s="69">
        <f t="shared" si="0"/>
        <v>45501</v>
      </c>
      <c r="G31" s="67">
        <f t="shared" si="7"/>
        <v>23</v>
      </c>
      <c r="H31" s="58" t="str">
        <f t="shared" si="8"/>
        <v>O Tabernáculo (presença de Deus) - parte 2</v>
      </c>
      <c r="I31" s="58" t="str">
        <f t="shared" si="9"/>
        <v>Ex 35-40</v>
      </c>
      <c r="J31" s="257" t="s">
        <v>520</v>
      </c>
      <c r="K31" s="41" t="s">
        <v>521</v>
      </c>
      <c r="L31" s="42" t="s">
        <v>11</v>
      </c>
      <c r="M31" s="42"/>
    </row>
    <row r="32" spans="1:13">
      <c r="A32" s="42">
        <v>1</v>
      </c>
      <c r="B32" s="42">
        <v>2024</v>
      </c>
      <c r="C32" s="57">
        <v>25</v>
      </c>
      <c r="D32" s="58" t="s">
        <v>90</v>
      </c>
      <c r="E32" s="62" t="s">
        <v>527</v>
      </c>
      <c r="F32" s="69">
        <f t="shared" si="0"/>
        <v>45508</v>
      </c>
      <c r="G32" s="67">
        <f t="shared" si="7"/>
        <v>24</v>
      </c>
      <c r="H32" s="58" t="str">
        <f t="shared" si="8"/>
        <v>Regras para o Sacrifício</v>
      </c>
      <c r="I32" s="58" t="str">
        <f t="shared" si="9"/>
        <v>Lv</v>
      </c>
      <c r="J32" s="260"/>
      <c r="K32" s="41" t="s">
        <v>523</v>
      </c>
      <c r="L32" s="42" t="s">
        <v>11</v>
      </c>
      <c r="M32" s="42"/>
    </row>
    <row r="33" spans="1:13">
      <c r="A33" s="42">
        <v>1</v>
      </c>
      <c r="B33" s="42">
        <v>2024</v>
      </c>
      <c r="C33" s="80">
        <v>26</v>
      </c>
      <c r="D33" s="58" t="s">
        <v>526</v>
      </c>
      <c r="E33" s="62" t="s">
        <v>94</v>
      </c>
      <c r="F33" s="69">
        <f t="shared" si="0"/>
        <v>45515</v>
      </c>
      <c r="G33" s="67">
        <f t="shared" si="7"/>
        <v>25</v>
      </c>
      <c r="H33" s="58" t="str">
        <f t="shared" si="8"/>
        <v>Os espias e a rebelião do povo</v>
      </c>
      <c r="I33" s="58" t="str">
        <f t="shared" si="9"/>
        <v>Introdução ao livro de Números + Nm 13-14</v>
      </c>
      <c r="J33" s="258"/>
      <c r="K33" s="41" t="s">
        <v>525</v>
      </c>
      <c r="L33" s="42" t="s">
        <v>11</v>
      </c>
      <c r="M33" s="42"/>
    </row>
    <row r="34" spans="1:13">
      <c r="A34" s="42">
        <v>1</v>
      </c>
      <c r="B34" s="42">
        <v>2024</v>
      </c>
      <c r="C34" s="57">
        <v>27</v>
      </c>
      <c r="D34" s="58" t="s">
        <v>530</v>
      </c>
      <c r="E34" s="62" t="s">
        <v>98</v>
      </c>
      <c r="F34" s="69">
        <f t="shared" si="0"/>
        <v>45522</v>
      </c>
      <c r="G34" s="67">
        <f t="shared" si="7"/>
        <v>26</v>
      </c>
      <c r="H34" s="58" t="s">
        <v>687</v>
      </c>
      <c r="I34" s="58" t="str">
        <f t="shared" si="9"/>
        <v>Números 20–21; João 3: 14-15</v>
      </c>
      <c r="J34" s="257" t="s">
        <v>528</v>
      </c>
      <c r="K34" s="41"/>
      <c r="L34" s="42" t="s">
        <v>11</v>
      </c>
      <c r="M34" s="42" t="s">
        <v>529</v>
      </c>
    </row>
    <row r="35" spans="1:13">
      <c r="A35" s="42">
        <v>1</v>
      </c>
      <c r="B35" s="42">
        <v>2024</v>
      </c>
      <c r="C35" s="80">
        <v>28</v>
      </c>
      <c r="D35" s="58" t="s">
        <v>532</v>
      </c>
      <c r="E35" s="62" t="s">
        <v>102</v>
      </c>
      <c r="F35" s="69">
        <f t="shared" si="0"/>
        <v>45529</v>
      </c>
      <c r="G35" s="67">
        <f t="shared" si="7"/>
        <v>27</v>
      </c>
      <c r="H35" s="58" t="str">
        <f t="shared" si="8"/>
        <v>A morte de Moisés</v>
      </c>
      <c r="I35" s="58" t="str">
        <f t="shared" si="9"/>
        <v>Dt 31–34</v>
      </c>
      <c r="J35" s="260"/>
      <c r="K35" s="41" t="s">
        <v>531</v>
      </c>
      <c r="L35" s="42" t="s">
        <v>11</v>
      </c>
      <c r="M35" s="42" t="s">
        <v>529</v>
      </c>
    </row>
    <row r="36" spans="1:13">
      <c r="A36" s="42">
        <v>1</v>
      </c>
      <c r="B36" s="42">
        <v>2024</v>
      </c>
      <c r="C36" s="57">
        <v>29</v>
      </c>
      <c r="D36" s="58" t="s">
        <v>534</v>
      </c>
      <c r="E36" s="62" t="s">
        <v>105</v>
      </c>
      <c r="F36" s="69">
        <f t="shared" si="0"/>
        <v>45536</v>
      </c>
      <c r="G36" s="67">
        <f>C35</f>
        <v>28</v>
      </c>
      <c r="H36" s="58" t="str">
        <f t="shared" ref="H36" si="10">D35</f>
        <v>Travessia do Jordão</v>
      </c>
      <c r="I36" s="58" t="str">
        <f t="shared" ref="I36" si="11">E35</f>
        <v>Josué 1–4</v>
      </c>
      <c r="J36" s="258"/>
      <c r="K36" s="41" t="s">
        <v>533</v>
      </c>
      <c r="L36" s="42" t="s">
        <v>11</v>
      </c>
      <c r="M36" s="42"/>
    </row>
    <row r="37" spans="1:13">
      <c r="A37" s="42">
        <v>1</v>
      </c>
      <c r="B37" s="42">
        <v>2024</v>
      </c>
      <c r="C37" s="42"/>
      <c r="D37" s="55" t="s">
        <v>688</v>
      </c>
      <c r="E37" s="65"/>
      <c r="F37" s="72">
        <f t="shared" si="0"/>
        <v>45543</v>
      </c>
      <c r="G37" s="68"/>
      <c r="H37" s="56" t="s">
        <v>688</v>
      </c>
      <c r="I37" s="41"/>
      <c r="J37" s="257" t="s">
        <v>535</v>
      </c>
      <c r="K37" s="41" t="s">
        <v>536</v>
      </c>
      <c r="L37" s="42" t="s">
        <v>11</v>
      </c>
      <c r="M37" s="41" t="s">
        <v>537</v>
      </c>
    </row>
    <row r="38" spans="1:13">
      <c r="A38" s="42">
        <v>1</v>
      </c>
      <c r="B38" s="42">
        <v>2024</v>
      </c>
      <c r="C38" s="57">
        <v>30</v>
      </c>
      <c r="D38" s="58" t="s">
        <v>538</v>
      </c>
      <c r="E38" s="58" t="s">
        <v>541</v>
      </c>
      <c r="F38" s="69">
        <f t="shared" si="0"/>
        <v>45550</v>
      </c>
      <c r="G38" s="67">
        <f>C36</f>
        <v>29</v>
      </c>
      <c r="H38" s="58" t="str">
        <f>D36</f>
        <v>A batalha de Jericó</v>
      </c>
      <c r="I38" s="58" t="str">
        <f>E36</f>
        <v>Josué 2; 6; Josué 10–11; 24</v>
      </c>
      <c r="J38" s="258"/>
      <c r="K38" s="41"/>
      <c r="L38" s="42" t="s">
        <v>11</v>
      </c>
      <c r="M38" s="41" t="s">
        <v>539</v>
      </c>
    </row>
    <row r="39" spans="1:13">
      <c r="A39" s="42">
        <v>1</v>
      </c>
      <c r="B39" s="42">
        <v>2024</v>
      </c>
      <c r="C39" s="57">
        <v>31</v>
      </c>
      <c r="D39" s="81" t="s">
        <v>540</v>
      </c>
      <c r="E39" s="81" t="s">
        <v>115</v>
      </c>
      <c r="F39" s="82">
        <f t="shared" si="0"/>
        <v>45557</v>
      </c>
      <c r="G39" s="83">
        <f>C38</f>
        <v>30</v>
      </c>
      <c r="H39" s="81" t="str">
        <f>D38</f>
        <v>Ciclos de Rebelião - Débora e Baraque</v>
      </c>
      <c r="I39" s="81" t="str">
        <f>E38</f>
        <v>Juízes 1-5</v>
      </c>
      <c r="J39" s="257" t="s">
        <v>542</v>
      </c>
      <c r="K39" s="41" t="s">
        <v>543</v>
      </c>
      <c r="L39" s="42" t="s">
        <v>11</v>
      </c>
      <c r="M39" s="41" t="s">
        <v>537</v>
      </c>
    </row>
    <row r="40" spans="1:13">
      <c r="A40" s="42">
        <v>1</v>
      </c>
      <c r="B40" s="42">
        <v>2024</v>
      </c>
      <c r="C40" s="57">
        <v>32</v>
      </c>
      <c r="D40" s="81" t="s">
        <v>544</v>
      </c>
      <c r="E40" s="81" t="s">
        <v>118</v>
      </c>
      <c r="F40" s="82">
        <f t="shared" si="0"/>
        <v>45564</v>
      </c>
      <c r="G40" s="83">
        <f t="shared" ref="G40:G51" si="12">C39</f>
        <v>31</v>
      </c>
      <c r="H40" s="81" t="str">
        <f t="shared" ref="H40:H51" si="13">D39</f>
        <v>Ciclos de Rebelião - Gideão</v>
      </c>
      <c r="I40" s="81" t="str">
        <f t="shared" ref="I40:I51" si="14">E39</f>
        <v>Juízes 6–8</v>
      </c>
      <c r="J40" s="260"/>
      <c r="K40" s="41" t="s">
        <v>545</v>
      </c>
      <c r="L40" s="42" t="s">
        <v>11</v>
      </c>
      <c r="M40" s="41" t="s">
        <v>537</v>
      </c>
    </row>
    <row r="41" spans="1:13">
      <c r="A41" s="42">
        <v>1</v>
      </c>
      <c r="B41" s="42">
        <v>2024</v>
      </c>
      <c r="C41" s="57">
        <v>33</v>
      </c>
      <c r="D41" s="81" t="s">
        <v>546</v>
      </c>
      <c r="E41" s="81" t="s">
        <v>121</v>
      </c>
      <c r="F41" s="82">
        <f t="shared" si="0"/>
        <v>45571</v>
      </c>
      <c r="G41" s="83">
        <f t="shared" si="12"/>
        <v>32</v>
      </c>
      <c r="H41" s="81" t="str">
        <f t="shared" si="13"/>
        <v>Ciclos de Rebelião - Sansão</v>
      </c>
      <c r="I41" s="81" t="str">
        <f t="shared" si="14"/>
        <v>Juízes 13–16</v>
      </c>
      <c r="J41" s="260"/>
      <c r="K41" s="41" t="s">
        <v>547</v>
      </c>
      <c r="L41" s="42" t="s">
        <v>11</v>
      </c>
      <c r="M41" s="41" t="s">
        <v>431</v>
      </c>
    </row>
    <row r="42" spans="1:13">
      <c r="A42" s="42">
        <v>1</v>
      </c>
      <c r="B42" s="42">
        <v>2024</v>
      </c>
      <c r="C42" s="57">
        <v>34</v>
      </c>
      <c r="D42" s="81" t="s">
        <v>548</v>
      </c>
      <c r="E42" s="81" t="s">
        <v>150</v>
      </c>
      <c r="F42" s="82">
        <f t="shared" si="0"/>
        <v>45578</v>
      </c>
      <c r="G42" s="83">
        <f t="shared" si="12"/>
        <v>33</v>
      </c>
      <c r="H42" s="81" t="str">
        <f t="shared" si="13"/>
        <v>Rute e Boaz</v>
      </c>
      <c r="I42" s="81" t="str">
        <f t="shared" si="14"/>
        <v>Rute 1 a 4</v>
      </c>
      <c r="J42" s="258"/>
      <c r="K42" s="41" t="s">
        <v>549</v>
      </c>
      <c r="L42" s="42" t="s">
        <v>11</v>
      </c>
      <c r="M42" s="42"/>
    </row>
    <row r="43" spans="1:13">
      <c r="A43" s="42">
        <v>1</v>
      </c>
      <c r="B43" s="42">
        <v>2024</v>
      </c>
      <c r="C43" s="42">
        <v>35</v>
      </c>
      <c r="D43" s="84" t="s">
        <v>152</v>
      </c>
      <c r="E43" s="85" t="s">
        <v>153</v>
      </c>
      <c r="F43" s="82">
        <f t="shared" si="0"/>
        <v>45585</v>
      </c>
      <c r="G43" s="83">
        <f t="shared" si="12"/>
        <v>34</v>
      </c>
      <c r="H43" s="81" t="str">
        <f t="shared" si="13"/>
        <v>O chamado de Samuel como profeta</v>
      </c>
      <c r="I43" s="81" t="str">
        <f t="shared" si="14"/>
        <v>1 Samuel 1–3</v>
      </c>
      <c r="J43" s="257" t="s">
        <v>550</v>
      </c>
      <c r="K43" s="41"/>
      <c r="L43" s="42" t="s">
        <v>11</v>
      </c>
      <c r="M43" s="42"/>
    </row>
    <row r="44" spans="1:13">
      <c r="A44" s="42">
        <v>1</v>
      </c>
      <c r="B44" s="42">
        <v>2024</v>
      </c>
      <c r="C44" s="42">
        <v>36</v>
      </c>
      <c r="D44" s="84" t="s">
        <v>156</v>
      </c>
      <c r="E44" s="85" t="s">
        <v>157</v>
      </c>
      <c r="F44" s="82">
        <f t="shared" si="0"/>
        <v>45592</v>
      </c>
      <c r="G44" s="83">
        <f t="shared" si="12"/>
        <v>35</v>
      </c>
      <c r="H44" s="81" t="str">
        <f t="shared" si="13"/>
        <v>Icabod – Foi-se a glória</v>
      </c>
      <c r="I44" s="81" t="str">
        <f t="shared" si="14"/>
        <v>1 Samuel 4–7</v>
      </c>
      <c r="J44" s="258"/>
      <c r="K44" s="41" t="s">
        <v>551</v>
      </c>
      <c r="L44" s="42" t="s">
        <v>11</v>
      </c>
      <c r="M44" s="42"/>
    </row>
    <row r="45" spans="1:13" ht="15" customHeight="1">
      <c r="A45" s="42">
        <v>1</v>
      </c>
      <c r="B45" s="42">
        <v>2024</v>
      </c>
      <c r="C45" s="42">
        <v>37</v>
      </c>
      <c r="D45" s="84" t="s">
        <v>552</v>
      </c>
      <c r="E45" s="85" t="s">
        <v>160</v>
      </c>
      <c r="F45" s="82">
        <f t="shared" si="0"/>
        <v>45599</v>
      </c>
      <c r="G45" s="83">
        <f t="shared" si="12"/>
        <v>36</v>
      </c>
      <c r="H45" s="81" t="str">
        <f t="shared" si="13"/>
        <v>Ascensão de Saul</v>
      </c>
      <c r="I45" s="81" t="str">
        <f t="shared" si="14"/>
        <v>1 Sm 8-12</v>
      </c>
      <c r="J45" s="257" t="s">
        <v>553</v>
      </c>
      <c r="K45" s="41"/>
      <c r="L45" s="42" t="s">
        <v>11</v>
      </c>
      <c r="M45" s="42"/>
    </row>
    <row r="46" spans="1:13">
      <c r="A46" s="42">
        <v>1</v>
      </c>
      <c r="B46" s="42">
        <v>2024</v>
      </c>
      <c r="C46" s="42">
        <v>38</v>
      </c>
      <c r="D46" s="42" t="s">
        <v>554</v>
      </c>
      <c r="E46" s="64" t="s">
        <v>556</v>
      </c>
      <c r="F46" s="71">
        <f t="shared" si="0"/>
        <v>45606</v>
      </c>
      <c r="G46" s="44">
        <f t="shared" si="12"/>
        <v>37</v>
      </c>
      <c r="H46" s="41" t="str">
        <f t="shared" si="13"/>
        <v>Queda de Saul</v>
      </c>
      <c r="I46" s="41" t="str">
        <f t="shared" si="14"/>
        <v>1 Sm 13-15</v>
      </c>
      <c r="J46" s="258"/>
      <c r="K46" s="41"/>
      <c r="L46" s="42" t="s">
        <v>11</v>
      </c>
      <c r="M46" s="42"/>
    </row>
    <row r="47" spans="1:13">
      <c r="A47" s="42">
        <v>1</v>
      </c>
      <c r="B47" s="42">
        <v>2024</v>
      </c>
      <c r="C47" s="42">
        <v>39</v>
      </c>
      <c r="D47" s="42" t="s">
        <v>555</v>
      </c>
      <c r="E47" s="64" t="s">
        <v>559</v>
      </c>
      <c r="F47" s="71">
        <f t="shared" si="0"/>
        <v>45613</v>
      </c>
      <c r="G47" s="44">
        <f t="shared" si="12"/>
        <v>38</v>
      </c>
      <c r="H47" s="41" t="str">
        <f t="shared" si="13"/>
        <v>O reinado de Davi - parte 1</v>
      </c>
      <c r="I47" s="41" t="str">
        <f t="shared" si="14"/>
        <v>1 Sm 16 em diante</v>
      </c>
      <c r="J47" s="276" t="s">
        <v>557</v>
      </c>
      <c r="K47" s="41"/>
      <c r="L47" s="42" t="s">
        <v>11</v>
      </c>
      <c r="M47" s="42"/>
    </row>
    <row r="48" spans="1:13">
      <c r="A48" s="42">
        <v>1</v>
      </c>
      <c r="B48" s="42">
        <v>2024</v>
      </c>
      <c r="C48" s="42">
        <v>40</v>
      </c>
      <c r="D48" s="42" t="s">
        <v>558</v>
      </c>
      <c r="E48" s="64" t="s">
        <v>561</v>
      </c>
      <c r="F48" s="71">
        <f t="shared" si="0"/>
        <v>45620</v>
      </c>
      <c r="G48" s="44">
        <f t="shared" si="12"/>
        <v>39</v>
      </c>
      <c r="H48" s="41" t="str">
        <f t="shared" si="13"/>
        <v>O reinado de Davi - parte 2</v>
      </c>
      <c r="I48" s="41" t="str">
        <f t="shared" si="14"/>
        <v>2 Sm</v>
      </c>
      <c r="J48" s="277"/>
      <c r="K48" s="41"/>
      <c r="L48" s="42" t="s">
        <v>11</v>
      </c>
      <c r="M48" s="42"/>
    </row>
    <row r="49" spans="1:13">
      <c r="A49" s="42">
        <v>1</v>
      </c>
      <c r="B49" s="42">
        <v>2024</v>
      </c>
      <c r="C49" s="42">
        <v>41</v>
      </c>
      <c r="D49" s="42" t="s">
        <v>560</v>
      </c>
      <c r="E49" s="66" t="s">
        <v>565</v>
      </c>
      <c r="F49" s="71">
        <f t="shared" si="0"/>
        <v>45627</v>
      </c>
      <c r="G49" s="44">
        <f t="shared" si="12"/>
        <v>40</v>
      </c>
      <c r="H49" s="41" t="str">
        <f t="shared" si="13"/>
        <v>O reinado de Salomão - parte 1</v>
      </c>
      <c r="I49" s="41" t="str">
        <f t="shared" si="14"/>
        <v>1 Rs 1-4</v>
      </c>
      <c r="J49" s="261" t="s">
        <v>562</v>
      </c>
      <c r="K49" s="41" t="s">
        <v>563</v>
      </c>
      <c r="L49" s="42" t="s">
        <v>11</v>
      </c>
      <c r="M49" s="42"/>
    </row>
    <row r="50" spans="1:13">
      <c r="A50" s="42">
        <v>1</v>
      </c>
      <c r="B50" s="42">
        <v>2024</v>
      </c>
      <c r="C50" s="42">
        <v>42</v>
      </c>
      <c r="D50" s="41" t="s">
        <v>564</v>
      </c>
      <c r="E50" s="64" t="s">
        <v>568</v>
      </c>
      <c r="F50" s="71">
        <f t="shared" si="0"/>
        <v>45634</v>
      </c>
      <c r="G50" s="44">
        <f t="shared" si="12"/>
        <v>41</v>
      </c>
      <c r="H50" s="41" t="str">
        <f t="shared" si="13"/>
        <v>O reinado de Salomão - parte 2</v>
      </c>
      <c r="I50" s="41" t="str">
        <f t="shared" si="14"/>
        <v>1 Rs 6-8</v>
      </c>
      <c r="J50" s="261"/>
      <c r="K50" s="41" t="s">
        <v>566</v>
      </c>
      <c r="L50" s="42" t="s">
        <v>11</v>
      </c>
      <c r="M50" s="42"/>
    </row>
    <row r="51" spans="1:13">
      <c r="A51" s="42">
        <v>1</v>
      </c>
      <c r="B51" s="42">
        <v>2024</v>
      </c>
      <c r="C51" s="42">
        <v>43</v>
      </c>
      <c r="D51" s="41" t="s">
        <v>567</v>
      </c>
      <c r="E51" s="64"/>
      <c r="F51" s="71">
        <f t="shared" si="0"/>
        <v>45641</v>
      </c>
      <c r="G51" s="44">
        <f t="shared" si="12"/>
        <v>42</v>
      </c>
      <c r="H51" s="41" t="str">
        <f t="shared" si="13"/>
        <v>Reino dividido - parte 1</v>
      </c>
      <c r="I51" s="41" t="str">
        <f t="shared" si="14"/>
        <v>1 Rs 11-12</v>
      </c>
      <c r="J51" s="41" t="s">
        <v>569</v>
      </c>
      <c r="K51" s="41" t="s">
        <v>570</v>
      </c>
      <c r="L51" s="42" t="s">
        <v>11</v>
      </c>
      <c r="M51" s="42"/>
    </row>
    <row r="52" spans="1:13">
      <c r="A52" s="42">
        <v>1</v>
      </c>
      <c r="B52" s="42">
        <v>2024</v>
      </c>
      <c r="C52" s="42"/>
      <c r="D52" s="3" t="s">
        <v>429</v>
      </c>
      <c r="E52" s="66"/>
      <c r="F52" s="71">
        <f t="shared" si="0"/>
        <v>45648</v>
      </c>
      <c r="G52" s="44"/>
      <c r="H52" s="3" t="s">
        <v>429</v>
      </c>
      <c r="I52" s="41"/>
      <c r="J52" s="41"/>
      <c r="K52" s="41"/>
      <c r="L52" s="42" t="s">
        <v>11</v>
      </c>
      <c r="M52" s="42"/>
    </row>
    <row r="53" spans="1:13">
      <c r="A53" s="42">
        <v>1</v>
      </c>
      <c r="B53" s="42">
        <v>2024</v>
      </c>
      <c r="C53" s="42"/>
      <c r="D53" s="3" t="s">
        <v>430</v>
      </c>
      <c r="E53" s="66"/>
      <c r="F53" s="71">
        <f t="shared" si="0"/>
        <v>45655</v>
      </c>
      <c r="G53" s="44"/>
      <c r="H53" s="3" t="s">
        <v>430</v>
      </c>
      <c r="I53" s="41"/>
      <c r="J53" s="41"/>
      <c r="K53" s="41"/>
      <c r="L53" s="42" t="s">
        <v>11</v>
      </c>
      <c r="M53" s="42"/>
    </row>
    <row r="54" spans="1:13">
      <c r="A54" s="42">
        <v>2</v>
      </c>
      <c r="B54" s="42">
        <v>2025</v>
      </c>
      <c r="C54" s="42"/>
      <c r="D54" s="42" t="s">
        <v>567</v>
      </c>
      <c r="E54" s="64"/>
      <c r="F54" s="71">
        <f t="shared" si="0"/>
        <v>45662</v>
      </c>
      <c r="G54" s="44"/>
      <c r="H54" s="41" t="s">
        <v>567</v>
      </c>
      <c r="I54" s="41"/>
      <c r="J54" s="257" t="s">
        <v>571</v>
      </c>
      <c r="K54" s="41"/>
      <c r="L54" s="42" t="s">
        <v>11</v>
      </c>
      <c r="M54" s="42"/>
    </row>
    <row r="55" spans="1:13">
      <c r="A55" s="42">
        <v>2</v>
      </c>
      <c r="B55" s="42">
        <v>2025</v>
      </c>
      <c r="C55" s="42"/>
      <c r="D55" s="41" t="s">
        <v>567</v>
      </c>
      <c r="E55" s="64"/>
      <c r="F55" s="71">
        <f t="shared" si="0"/>
        <v>45669</v>
      </c>
      <c r="G55" s="44"/>
      <c r="H55" s="41" t="s">
        <v>567</v>
      </c>
      <c r="I55" s="41"/>
      <c r="J55" s="260"/>
      <c r="K55" s="41"/>
      <c r="L55" s="42" t="s">
        <v>11</v>
      </c>
      <c r="M55" s="42"/>
    </row>
    <row r="56" spans="1:13">
      <c r="A56" s="42">
        <v>2</v>
      </c>
      <c r="B56" s="42">
        <v>2025</v>
      </c>
      <c r="C56" s="42"/>
      <c r="D56" s="42" t="s">
        <v>572</v>
      </c>
      <c r="E56" s="66"/>
      <c r="F56" s="71">
        <f t="shared" si="0"/>
        <v>45676</v>
      </c>
      <c r="G56" s="44"/>
      <c r="H56" s="41" t="s">
        <v>567</v>
      </c>
      <c r="I56" s="41"/>
      <c r="J56" s="260"/>
      <c r="K56" s="41"/>
      <c r="L56" s="42" t="s">
        <v>11</v>
      </c>
      <c r="M56" s="42"/>
    </row>
    <row r="57" spans="1:13">
      <c r="A57" s="42">
        <v>2</v>
      </c>
      <c r="B57" s="42">
        <v>2025</v>
      </c>
      <c r="C57" s="42"/>
      <c r="D57" s="42" t="s">
        <v>188</v>
      </c>
      <c r="E57" s="66"/>
      <c r="F57" s="71">
        <f t="shared" si="0"/>
        <v>45683</v>
      </c>
      <c r="G57" s="44"/>
      <c r="H57" s="41" t="s">
        <v>188</v>
      </c>
      <c r="I57" s="41"/>
      <c r="J57" s="260"/>
      <c r="K57" s="41"/>
      <c r="L57" s="42" t="s">
        <v>11</v>
      </c>
      <c r="M57" s="42"/>
    </row>
    <row r="58" spans="1:13">
      <c r="A58" s="42">
        <v>2</v>
      </c>
      <c r="B58" s="42">
        <v>2025</v>
      </c>
      <c r="C58" s="42"/>
      <c r="D58" s="42" t="s">
        <v>188</v>
      </c>
      <c r="E58" s="66"/>
      <c r="F58" s="71">
        <f t="shared" si="0"/>
        <v>45690</v>
      </c>
      <c r="G58" s="44"/>
      <c r="H58" s="41" t="s">
        <v>188</v>
      </c>
      <c r="I58" s="41"/>
      <c r="J58" s="260"/>
      <c r="K58" s="41"/>
      <c r="L58" s="42" t="s">
        <v>11</v>
      </c>
      <c r="M58" s="42"/>
    </row>
    <row r="59" spans="1:13">
      <c r="A59" s="42">
        <v>2</v>
      </c>
      <c r="B59" s="42">
        <v>2025</v>
      </c>
      <c r="C59" s="42"/>
      <c r="D59" s="42" t="s">
        <v>188</v>
      </c>
      <c r="E59" s="66"/>
      <c r="F59" s="71">
        <f t="shared" si="0"/>
        <v>45697</v>
      </c>
      <c r="G59" s="44"/>
      <c r="H59" s="41" t="s">
        <v>188</v>
      </c>
      <c r="I59" s="41"/>
      <c r="J59" s="260"/>
      <c r="K59" s="41"/>
      <c r="L59" s="42" t="s">
        <v>11</v>
      </c>
      <c r="M59" s="42"/>
    </row>
    <row r="60" spans="1:13">
      <c r="A60" s="42">
        <v>2</v>
      </c>
      <c r="B60" s="42">
        <v>2025</v>
      </c>
      <c r="C60" s="42"/>
      <c r="D60" s="42" t="s">
        <v>188</v>
      </c>
      <c r="E60" s="66"/>
      <c r="F60" s="71">
        <f t="shared" si="0"/>
        <v>45704</v>
      </c>
      <c r="G60" s="44"/>
      <c r="H60" s="41" t="s">
        <v>188</v>
      </c>
      <c r="I60" s="41"/>
      <c r="J60" s="260"/>
      <c r="K60" s="41"/>
      <c r="L60" s="42" t="s">
        <v>11</v>
      </c>
      <c r="M60" s="42"/>
    </row>
    <row r="61" spans="1:13">
      <c r="A61" s="42">
        <v>2</v>
      </c>
      <c r="B61" s="42">
        <v>2025</v>
      </c>
      <c r="C61" s="42"/>
      <c r="D61" s="41" t="str">
        <f>+H63</f>
        <v>Reino dividido - parte 2 (de Jeroboão a Baasa)</v>
      </c>
      <c r="E61" s="64"/>
      <c r="F61" s="71">
        <f t="shared" si="0"/>
        <v>45711</v>
      </c>
      <c r="G61" s="44"/>
      <c r="H61" s="41" t="s">
        <v>572</v>
      </c>
      <c r="I61" s="41" t="s">
        <v>573</v>
      </c>
      <c r="J61" s="258"/>
      <c r="K61" s="41"/>
      <c r="L61" s="42" t="s">
        <v>11</v>
      </c>
      <c r="M61" s="42"/>
    </row>
    <row r="62" spans="1:13">
      <c r="A62" s="42">
        <v>2</v>
      </c>
      <c r="B62" s="42">
        <v>2025</v>
      </c>
      <c r="C62" s="42"/>
      <c r="D62" s="42" t="s">
        <v>574</v>
      </c>
      <c r="E62" s="66"/>
      <c r="F62" s="71">
        <f t="shared" si="0"/>
        <v>45718</v>
      </c>
      <c r="G62" s="44"/>
      <c r="H62" s="3" t="s">
        <v>575</v>
      </c>
      <c r="I62" s="41"/>
      <c r="J62" s="41"/>
      <c r="K62" s="41"/>
      <c r="L62" s="42" t="s">
        <v>11</v>
      </c>
      <c r="M62" s="42"/>
    </row>
    <row r="63" spans="1:13">
      <c r="A63" s="42">
        <v>2</v>
      </c>
      <c r="B63" s="42">
        <v>2025</v>
      </c>
      <c r="C63" s="42"/>
      <c r="D63" s="42" t="str">
        <f>H64</f>
        <v>Elias e a viúva</v>
      </c>
      <c r="E63" s="66"/>
      <c r="F63" s="71">
        <f t="shared" si="0"/>
        <v>45725</v>
      </c>
      <c r="G63" s="44"/>
      <c r="H63" s="41" t="s">
        <v>576</v>
      </c>
      <c r="I63" s="41" t="s">
        <v>577</v>
      </c>
      <c r="J63" s="41" t="s">
        <v>569</v>
      </c>
      <c r="K63" s="42" t="s">
        <v>578</v>
      </c>
      <c r="L63" s="42" t="s">
        <v>11</v>
      </c>
      <c r="M63" s="42"/>
    </row>
    <row r="64" spans="1:13">
      <c r="A64" s="42">
        <v>2</v>
      </c>
      <c r="B64" s="42">
        <v>2025</v>
      </c>
      <c r="C64" s="42"/>
      <c r="D64" s="42" t="str">
        <f t="shared" ref="D64:D102" si="15">H65</f>
        <v>Elias no Monte Carmelo</v>
      </c>
      <c r="E64" s="66"/>
      <c r="F64" s="71">
        <f t="shared" si="0"/>
        <v>45732</v>
      </c>
      <c r="G64" s="44"/>
      <c r="H64" s="42" t="s">
        <v>196</v>
      </c>
      <c r="I64" s="42" t="s">
        <v>197</v>
      </c>
      <c r="J64" s="257" t="s">
        <v>195</v>
      </c>
      <c r="K64" s="42" t="s">
        <v>578</v>
      </c>
      <c r="L64" s="42" t="s">
        <v>11</v>
      </c>
      <c r="M64" s="42"/>
    </row>
    <row r="65" spans="1:13">
      <c r="A65" s="42">
        <v>2</v>
      </c>
      <c r="B65" s="42">
        <v>2025</v>
      </c>
      <c r="C65" s="42"/>
      <c r="D65" s="42" t="str">
        <f t="shared" si="15"/>
        <v>Eliseu é sucessor de Elias</v>
      </c>
      <c r="E65" s="66"/>
      <c r="F65" s="71">
        <f t="shared" si="0"/>
        <v>45739</v>
      </c>
      <c r="G65" s="44"/>
      <c r="H65" s="42" t="s">
        <v>199</v>
      </c>
      <c r="I65" s="42" t="s">
        <v>200</v>
      </c>
      <c r="J65" s="260"/>
      <c r="K65" s="42" t="s">
        <v>578</v>
      </c>
      <c r="L65" s="42" t="s">
        <v>11</v>
      </c>
      <c r="M65" s="42"/>
    </row>
    <row r="66" spans="1:13">
      <c r="A66" s="42">
        <v>2</v>
      </c>
      <c r="B66" s="42">
        <v>2025</v>
      </c>
      <c r="C66" s="42"/>
      <c r="D66" s="42" t="str">
        <f t="shared" si="15"/>
        <v>O ministério de Eliseu</v>
      </c>
      <c r="E66" s="66"/>
      <c r="F66" s="71">
        <f t="shared" si="0"/>
        <v>45746</v>
      </c>
      <c r="G66" s="44"/>
      <c r="H66" s="42" t="s">
        <v>202</v>
      </c>
      <c r="I66" s="42" t="s">
        <v>203</v>
      </c>
      <c r="J66" s="260"/>
      <c r="K66" s="42" t="s">
        <v>578</v>
      </c>
      <c r="L66" s="42" t="s">
        <v>11</v>
      </c>
      <c r="M66" s="42"/>
    </row>
    <row r="67" spans="1:13">
      <c r="A67" s="42">
        <v>2</v>
      </c>
      <c r="B67" s="42">
        <v>2025</v>
      </c>
      <c r="C67" s="42"/>
      <c r="D67" s="42" t="str">
        <f t="shared" si="15"/>
        <v>Amós</v>
      </c>
      <c r="E67" s="66"/>
      <c r="F67" s="71">
        <f t="shared" si="0"/>
        <v>45753</v>
      </c>
      <c r="G67" s="44"/>
      <c r="H67" s="42" t="s">
        <v>205</v>
      </c>
      <c r="I67" s="42" t="s">
        <v>579</v>
      </c>
      <c r="J67" s="258"/>
      <c r="K67" s="42" t="s">
        <v>578</v>
      </c>
      <c r="L67" s="42" t="s">
        <v>11</v>
      </c>
      <c r="M67" s="42"/>
    </row>
    <row r="68" spans="1:13" ht="15" customHeight="1">
      <c r="A68" s="42">
        <v>2</v>
      </c>
      <c r="B68" s="42">
        <v>2025</v>
      </c>
      <c r="C68" s="42"/>
      <c r="D68" s="42" t="str">
        <f t="shared" si="15"/>
        <v>Jonas</v>
      </c>
      <c r="E68" s="66"/>
      <c r="F68" s="71">
        <f t="shared" ref="F68:F131" si="16">+F67+7</f>
        <v>45760</v>
      </c>
      <c r="G68" s="44"/>
      <c r="H68" s="42" t="s">
        <v>580</v>
      </c>
      <c r="I68" s="42" t="s">
        <v>580</v>
      </c>
      <c r="J68" s="261" t="s">
        <v>581</v>
      </c>
      <c r="K68" s="43" t="s">
        <v>249</v>
      </c>
      <c r="L68" s="42" t="s">
        <v>11</v>
      </c>
      <c r="M68" s="42"/>
    </row>
    <row r="69" spans="1:13">
      <c r="A69" s="42">
        <v>2</v>
      </c>
      <c r="B69" s="42">
        <v>2025</v>
      </c>
      <c r="C69" s="42"/>
      <c r="D69" s="42" t="str">
        <f t="shared" si="15"/>
        <v>Oseias</v>
      </c>
      <c r="E69" s="66"/>
      <c r="F69" s="71">
        <f t="shared" si="16"/>
        <v>45767</v>
      </c>
      <c r="G69" s="44"/>
      <c r="H69" s="42" t="s">
        <v>210</v>
      </c>
      <c r="I69" s="42" t="s">
        <v>210</v>
      </c>
      <c r="J69" s="261"/>
      <c r="K69" s="44" t="s">
        <v>578</v>
      </c>
      <c r="L69" s="42" t="s">
        <v>11</v>
      </c>
      <c r="M69" s="42"/>
    </row>
    <row r="70" spans="1:13">
      <c r="A70" s="42">
        <v>2</v>
      </c>
      <c r="B70" s="42">
        <v>2025</v>
      </c>
      <c r="C70" s="42"/>
      <c r="D70" s="42" t="str">
        <f t="shared" si="15"/>
        <v>Miqueias</v>
      </c>
      <c r="E70" s="66"/>
      <c r="F70" s="71">
        <f t="shared" si="16"/>
        <v>45774</v>
      </c>
      <c r="G70" s="44"/>
      <c r="H70" s="42" t="s">
        <v>582</v>
      </c>
      <c r="I70" s="42" t="s">
        <v>582</v>
      </c>
      <c r="J70" s="261"/>
      <c r="K70" s="44"/>
      <c r="L70" s="42" t="s">
        <v>11</v>
      </c>
      <c r="M70" s="42"/>
    </row>
    <row r="71" spans="1:13">
      <c r="A71" s="42">
        <v>2</v>
      </c>
      <c r="B71" s="42">
        <v>2025</v>
      </c>
      <c r="C71" s="42"/>
      <c r="D71" s="42" t="str">
        <f t="shared" si="15"/>
        <v>O chamado de Isaias</v>
      </c>
      <c r="E71" s="66"/>
      <c r="F71" s="71">
        <f t="shared" si="16"/>
        <v>45781</v>
      </c>
      <c r="G71" s="44"/>
      <c r="H71" s="42" t="s">
        <v>583</v>
      </c>
      <c r="I71" s="42" t="s">
        <v>583</v>
      </c>
      <c r="J71" s="261"/>
      <c r="K71" s="44" t="s">
        <v>578</v>
      </c>
      <c r="L71" s="42" t="s">
        <v>11</v>
      </c>
      <c r="M71" s="42"/>
    </row>
    <row r="72" spans="1:13">
      <c r="A72" s="42">
        <v>2</v>
      </c>
      <c r="B72" s="42">
        <v>2025</v>
      </c>
      <c r="C72" s="42"/>
      <c r="D72" s="42" t="str">
        <f t="shared" si="15"/>
        <v>A mensagem de Isaias</v>
      </c>
      <c r="E72" s="66"/>
      <c r="F72" s="71">
        <f t="shared" si="16"/>
        <v>45788</v>
      </c>
      <c r="G72" s="44"/>
      <c r="H72" s="42" t="s">
        <v>584</v>
      </c>
      <c r="I72" s="42" t="s">
        <v>585</v>
      </c>
      <c r="J72" s="261"/>
      <c r="L72" s="42" t="s">
        <v>11</v>
      </c>
      <c r="M72" s="42"/>
    </row>
    <row r="73" spans="1:13">
      <c r="A73" s="42">
        <v>2</v>
      </c>
      <c r="B73" s="42">
        <v>2025</v>
      </c>
      <c r="C73" s="42"/>
      <c r="D73" s="42" t="str">
        <f t="shared" si="15"/>
        <v>Jeroboão II</v>
      </c>
      <c r="E73" s="66"/>
      <c r="F73" s="71">
        <f t="shared" si="16"/>
        <v>45795</v>
      </c>
      <c r="G73" s="44"/>
      <c r="H73" s="42" t="s">
        <v>586</v>
      </c>
      <c r="I73" s="42" t="s">
        <v>585</v>
      </c>
      <c r="J73" s="261"/>
      <c r="K73" s="44"/>
      <c r="L73" s="42" t="s">
        <v>11</v>
      </c>
      <c r="M73" s="42"/>
    </row>
    <row r="74" spans="1:13">
      <c r="A74" s="42">
        <v>2</v>
      </c>
      <c r="B74" s="42">
        <v>2025</v>
      </c>
      <c r="C74" s="42"/>
      <c r="D74" s="42" t="str">
        <f t="shared" si="15"/>
        <v>De Roboão a Acaz</v>
      </c>
      <c r="E74" s="66"/>
      <c r="F74" s="71">
        <f t="shared" si="16"/>
        <v>45802</v>
      </c>
      <c r="G74" s="44"/>
      <c r="H74" s="42" t="s">
        <v>587</v>
      </c>
      <c r="I74" s="42" t="s">
        <v>588</v>
      </c>
      <c r="J74" s="266" t="s">
        <v>589</v>
      </c>
      <c r="K74" s="42"/>
      <c r="L74" s="42" t="s">
        <v>11</v>
      </c>
      <c r="M74" s="42"/>
    </row>
    <row r="75" spans="1:13">
      <c r="A75" s="42">
        <v>2</v>
      </c>
      <c r="B75" s="42">
        <v>2025</v>
      </c>
      <c r="C75" s="42"/>
      <c r="D75" s="42" t="str">
        <f t="shared" si="15"/>
        <v>Ezequias</v>
      </c>
      <c r="E75" s="66"/>
      <c r="F75" s="71">
        <f t="shared" si="16"/>
        <v>45809</v>
      </c>
      <c r="G75" s="44"/>
      <c r="H75" s="41" t="s">
        <v>590</v>
      </c>
      <c r="I75" s="42" t="s">
        <v>591</v>
      </c>
      <c r="J75" s="267"/>
      <c r="K75" s="42" t="s">
        <v>592</v>
      </c>
      <c r="L75" s="42" t="s">
        <v>11</v>
      </c>
      <c r="M75" s="42"/>
    </row>
    <row r="76" spans="1:13">
      <c r="A76" s="42">
        <v>2</v>
      </c>
      <c r="B76" s="42">
        <v>2025</v>
      </c>
      <c r="C76" s="42"/>
      <c r="D76" s="42" t="str">
        <f t="shared" si="15"/>
        <v>Josias - Reforma do templo</v>
      </c>
      <c r="E76" s="66"/>
      <c r="F76" s="71">
        <f t="shared" si="16"/>
        <v>45816</v>
      </c>
      <c r="G76" s="44"/>
      <c r="H76" s="41" t="s">
        <v>593</v>
      </c>
      <c r="I76" s="41" t="s">
        <v>594</v>
      </c>
      <c r="J76" s="267"/>
      <c r="K76" s="42" t="s">
        <v>592</v>
      </c>
      <c r="L76" s="42" t="s">
        <v>11</v>
      </c>
      <c r="M76" s="42"/>
    </row>
    <row r="77" spans="1:13">
      <c r="A77" s="42">
        <v>2</v>
      </c>
      <c r="B77" s="42">
        <v>2025</v>
      </c>
      <c r="C77" s="42"/>
      <c r="D77" s="42" t="str">
        <f t="shared" si="15"/>
        <v>O cativeiro Assírio</v>
      </c>
      <c r="E77" s="66"/>
      <c r="F77" s="71">
        <f t="shared" si="16"/>
        <v>45823</v>
      </c>
      <c r="G77" s="44"/>
      <c r="H77" s="41" t="s">
        <v>595</v>
      </c>
      <c r="I77" s="41" t="s">
        <v>226</v>
      </c>
      <c r="J77" s="267"/>
      <c r="K77" s="42" t="s">
        <v>592</v>
      </c>
      <c r="L77" s="42" t="s">
        <v>11</v>
      </c>
      <c r="M77" s="42"/>
    </row>
    <row r="78" spans="1:13">
      <c r="A78" s="42">
        <v>2</v>
      </c>
      <c r="B78" s="42">
        <v>2025</v>
      </c>
      <c r="C78" s="42"/>
      <c r="D78" s="42" t="str">
        <f t="shared" si="15"/>
        <v>Naum</v>
      </c>
      <c r="E78" s="66"/>
      <c r="F78" s="71">
        <f t="shared" si="16"/>
        <v>45830</v>
      </c>
      <c r="G78" s="44"/>
      <c r="H78" s="42" t="s">
        <v>596</v>
      </c>
      <c r="I78" s="42" t="s">
        <v>213</v>
      </c>
      <c r="J78" s="267"/>
      <c r="K78" s="42" t="s">
        <v>212</v>
      </c>
      <c r="L78" s="42" t="s">
        <v>11</v>
      </c>
      <c r="M78" s="42"/>
    </row>
    <row r="79" spans="1:13">
      <c r="A79" s="42">
        <v>2</v>
      </c>
      <c r="B79" s="42">
        <v>2025</v>
      </c>
      <c r="C79" s="42"/>
      <c r="D79" s="42" t="str">
        <f t="shared" si="15"/>
        <v>Sofonias</v>
      </c>
      <c r="E79" s="66"/>
      <c r="F79" s="71">
        <f t="shared" si="16"/>
        <v>45837</v>
      </c>
      <c r="G79" s="44"/>
      <c r="H79" s="41" t="s">
        <v>597</v>
      </c>
      <c r="I79" s="41" t="s">
        <v>597</v>
      </c>
      <c r="J79" s="267"/>
      <c r="L79" s="42" t="s">
        <v>11</v>
      </c>
      <c r="M79" s="42"/>
    </row>
    <row r="80" spans="1:13">
      <c r="A80" s="42">
        <v>2</v>
      </c>
      <c r="B80" s="42">
        <v>2025</v>
      </c>
      <c r="C80" s="42"/>
      <c r="D80" s="42" t="str">
        <f t="shared" si="15"/>
        <v xml:space="preserve"> Jeremias, Profeta de Judá</v>
      </c>
      <c r="E80" s="66"/>
      <c r="F80" s="71">
        <f t="shared" si="16"/>
        <v>45844</v>
      </c>
      <c r="G80" s="44"/>
      <c r="H80" s="41" t="s">
        <v>598</v>
      </c>
      <c r="I80" s="41" t="s">
        <v>598</v>
      </c>
      <c r="J80" s="267"/>
      <c r="K80" s="42"/>
      <c r="L80" s="42" t="s">
        <v>11</v>
      </c>
      <c r="M80" s="42"/>
    </row>
    <row r="81" spans="1:13">
      <c r="A81" s="42">
        <v>2</v>
      </c>
      <c r="B81" s="42">
        <v>2025</v>
      </c>
      <c r="C81" s="42"/>
      <c r="D81" s="42" t="str">
        <f t="shared" si="15"/>
        <v xml:space="preserve"> Jeremias, Profeta de Judá</v>
      </c>
      <c r="E81" s="66"/>
      <c r="F81" s="71">
        <f t="shared" si="16"/>
        <v>45851</v>
      </c>
      <c r="G81" s="44"/>
      <c r="H81" s="41" t="s">
        <v>599</v>
      </c>
      <c r="I81" s="41" t="s">
        <v>231</v>
      </c>
      <c r="J81" s="267"/>
      <c r="K81" s="41" t="s">
        <v>230</v>
      </c>
      <c r="L81" s="42" t="s">
        <v>11</v>
      </c>
      <c r="M81" s="42"/>
    </row>
    <row r="82" spans="1:13">
      <c r="A82" s="42">
        <v>2</v>
      </c>
      <c r="B82" s="42">
        <v>2025</v>
      </c>
      <c r="C82" s="42"/>
      <c r="D82" s="42" t="str">
        <f t="shared" si="15"/>
        <v>Habacuque</v>
      </c>
      <c r="E82" s="66"/>
      <c r="F82" s="71">
        <f t="shared" si="16"/>
        <v>45858</v>
      </c>
      <c r="G82" s="44"/>
      <c r="H82" s="41" t="s">
        <v>599</v>
      </c>
      <c r="I82" s="41" t="s">
        <v>231</v>
      </c>
      <c r="J82" s="267"/>
      <c r="K82" s="41" t="s">
        <v>230</v>
      </c>
      <c r="L82" s="42" t="s">
        <v>11</v>
      </c>
      <c r="M82" s="42"/>
    </row>
    <row r="83" spans="1:13">
      <c r="A83" s="42">
        <v>2</v>
      </c>
      <c r="B83" s="42">
        <v>2025</v>
      </c>
      <c r="C83" s="42"/>
      <c r="D83" s="42" t="str">
        <f t="shared" si="15"/>
        <v>Judá é feito cativo</v>
      </c>
      <c r="E83" s="66"/>
      <c r="F83" s="71">
        <f t="shared" si="16"/>
        <v>45865</v>
      </c>
      <c r="G83" s="44"/>
      <c r="H83" s="42" t="s">
        <v>600</v>
      </c>
      <c r="I83" s="42" t="s">
        <v>600</v>
      </c>
      <c r="J83" s="267"/>
      <c r="K83" s="42"/>
      <c r="L83" s="42" t="s">
        <v>11</v>
      </c>
      <c r="M83" s="42"/>
    </row>
    <row r="84" spans="1:13">
      <c r="A84" s="42">
        <v>2</v>
      </c>
      <c r="B84" s="42">
        <v>2025</v>
      </c>
      <c r="C84" s="42"/>
      <c r="D84" s="42" t="str">
        <f t="shared" si="15"/>
        <v>Ezequiel</v>
      </c>
      <c r="E84" s="66"/>
      <c r="F84" s="71">
        <f t="shared" si="16"/>
        <v>45872</v>
      </c>
      <c r="G84" s="44"/>
      <c r="H84" s="41" t="s">
        <v>601</v>
      </c>
      <c r="I84" s="41" t="s">
        <v>234</v>
      </c>
      <c r="J84" s="267"/>
      <c r="K84" s="42"/>
      <c r="L84" s="42" t="s">
        <v>11</v>
      </c>
      <c r="M84" s="42"/>
    </row>
    <row r="85" spans="1:13">
      <c r="A85" s="42">
        <v>2</v>
      </c>
      <c r="B85" s="42">
        <v>2025</v>
      </c>
      <c r="C85" s="42"/>
      <c r="D85" s="42" t="str">
        <f t="shared" si="15"/>
        <v>A visão dos ossos secos</v>
      </c>
      <c r="E85" s="66"/>
      <c r="F85" s="71">
        <f t="shared" si="16"/>
        <v>45879</v>
      </c>
      <c r="G85" s="44"/>
      <c r="H85" s="42" t="s">
        <v>602</v>
      </c>
      <c r="I85" s="42" t="s">
        <v>602</v>
      </c>
      <c r="J85" s="267"/>
      <c r="K85" s="41" t="s">
        <v>233</v>
      </c>
      <c r="L85" s="42" t="s">
        <v>11</v>
      </c>
      <c r="M85" s="42"/>
    </row>
    <row r="86" spans="1:13">
      <c r="A86" s="42">
        <v>2</v>
      </c>
      <c r="B86" s="42">
        <v>2025</v>
      </c>
      <c r="C86" s="42"/>
      <c r="D86" s="42" t="str">
        <f t="shared" si="15"/>
        <v>Obadias</v>
      </c>
      <c r="E86" s="66"/>
      <c r="F86" s="71">
        <f t="shared" si="16"/>
        <v>45886</v>
      </c>
      <c r="G86" s="44"/>
      <c r="H86" s="41" t="s">
        <v>236</v>
      </c>
      <c r="I86" s="41" t="s">
        <v>237</v>
      </c>
      <c r="J86" s="268"/>
      <c r="K86" s="42"/>
      <c r="L86" s="42" t="s">
        <v>11</v>
      </c>
      <c r="M86" s="42"/>
    </row>
    <row r="87" spans="1:13">
      <c r="A87" s="42">
        <v>2</v>
      </c>
      <c r="B87" s="42">
        <v>2025</v>
      </c>
      <c r="C87" s="42"/>
      <c r="D87" s="42" t="str">
        <f t="shared" si="15"/>
        <v>A fornalha ardente</v>
      </c>
      <c r="E87" s="66"/>
      <c r="F87" s="71">
        <f t="shared" si="16"/>
        <v>45893</v>
      </c>
      <c r="G87" s="44"/>
      <c r="H87" s="45" t="s">
        <v>250</v>
      </c>
      <c r="I87" s="45" t="s">
        <v>250</v>
      </c>
      <c r="J87" s="257" t="s">
        <v>603</v>
      </c>
      <c r="K87" s="41"/>
      <c r="L87" s="42" t="s">
        <v>11</v>
      </c>
      <c r="M87" s="42"/>
    </row>
    <row r="88" spans="1:13">
      <c r="A88" s="42">
        <v>2</v>
      </c>
      <c r="B88" s="42">
        <v>2025</v>
      </c>
      <c r="C88" s="42"/>
      <c r="D88" s="42" t="str">
        <f t="shared" si="15"/>
        <v>O sonho de Nabucodonosor</v>
      </c>
      <c r="E88" s="66"/>
      <c r="F88" s="71">
        <f t="shared" si="16"/>
        <v>45900</v>
      </c>
      <c r="G88" s="44"/>
      <c r="H88" s="41" t="s">
        <v>604</v>
      </c>
      <c r="I88" s="41" t="s">
        <v>605</v>
      </c>
      <c r="J88" s="260"/>
      <c r="K88" s="41" t="s">
        <v>240</v>
      </c>
      <c r="L88" s="42" t="s">
        <v>11</v>
      </c>
      <c r="M88" s="42"/>
    </row>
    <row r="89" spans="1:13">
      <c r="A89" s="42">
        <v>2</v>
      </c>
      <c r="B89" s="42">
        <v>2025</v>
      </c>
      <c r="C89" s="42"/>
      <c r="D89" s="42" t="str">
        <f t="shared" si="15"/>
        <v>Daniel na cova dos leões</v>
      </c>
      <c r="E89" s="66"/>
      <c r="F89" s="71">
        <f t="shared" si="16"/>
        <v>45907</v>
      </c>
      <c r="G89" s="44"/>
      <c r="H89" s="46" t="s">
        <v>606</v>
      </c>
      <c r="I89" s="41" t="s">
        <v>607</v>
      </c>
      <c r="J89" s="260"/>
      <c r="K89" s="41" t="s">
        <v>608</v>
      </c>
      <c r="L89" s="42" t="s">
        <v>11</v>
      </c>
      <c r="M89" s="42"/>
    </row>
    <row r="90" spans="1:13">
      <c r="A90" s="42">
        <v>2</v>
      </c>
      <c r="B90" s="42">
        <v>2025</v>
      </c>
      <c r="C90" s="42"/>
      <c r="D90" s="42" t="str">
        <f t="shared" si="15"/>
        <v>A visão de Daniel</v>
      </c>
      <c r="E90" s="66"/>
      <c r="F90" s="71">
        <f t="shared" si="16"/>
        <v>45914</v>
      </c>
      <c r="G90" s="44"/>
      <c r="H90" s="41" t="s">
        <v>609</v>
      </c>
      <c r="I90" s="41" t="s">
        <v>610</v>
      </c>
      <c r="J90" s="260"/>
      <c r="K90" s="41" t="s">
        <v>611</v>
      </c>
      <c r="L90" s="42" t="s">
        <v>11</v>
      </c>
      <c r="M90" s="42"/>
    </row>
    <row r="91" spans="1:13">
      <c r="A91" s="42">
        <v>2</v>
      </c>
      <c r="B91" s="42">
        <v>2025</v>
      </c>
      <c r="C91" s="42"/>
      <c r="D91" s="42" t="str">
        <f t="shared" si="15"/>
        <v>O Retorno dos Exilados</v>
      </c>
      <c r="E91" s="66"/>
      <c r="F91" s="71">
        <f t="shared" si="16"/>
        <v>45921</v>
      </c>
      <c r="G91" s="44"/>
      <c r="H91" s="41" t="s">
        <v>612</v>
      </c>
      <c r="I91" s="41" t="s">
        <v>247</v>
      </c>
      <c r="J91" s="258"/>
      <c r="K91" s="41"/>
      <c r="L91" s="42" t="s">
        <v>11</v>
      </c>
      <c r="M91" s="42"/>
    </row>
    <row r="92" spans="1:13">
      <c r="A92" s="42">
        <v>2</v>
      </c>
      <c r="B92" s="42">
        <v>2025</v>
      </c>
      <c r="C92" s="42"/>
      <c r="D92" s="42" t="str">
        <f t="shared" si="15"/>
        <v>A reconstrução do templo</v>
      </c>
      <c r="E92" s="66"/>
      <c r="F92" s="71">
        <f t="shared" si="16"/>
        <v>45928</v>
      </c>
      <c r="G92" s="44"/>
      <c r="H92" s="41" t="s">
        <v>613</v>
      </c>
      <c r="I92" s="41" t="s">
        <v>253</v>
      </c>
      <c r="J92" s="257" t="s">
        <v>614</v>
      </c>
      <c r="K92" s="41"/>
      <c r="L92" s="42" t="s">
        <v>11</v>
      </c>
      <c r="M92" s="42"/>
    </row>
    <row r="93" spans="1:13">
      <c r="A93" s="42">
        <v>2</v>
      </c>
      <c r="B93" s="42">
        <v>2025</v>
      </c>
      <c r="C93" s="42"/>
      <c r="D93" s="42" t="str">
        <f t="shared" si="15"/>
        <v>A promessa de um rei que vem – Zacarias, o profeta</v>
      </c>
      <c r="E93" s="66"/>
      <c r="F93" s="71">
        <f t="shared" si="16"/>
        <v>45935</v>
      </c>
      <c r="G93" s="44"/>
      <c r="H93" s="41" t="s">
        <v>615</v>
      </c>
      <c r="I93" s="41" t="s">
        <v>257</v>
      </c>
      <c r="J93" s="260"/>
      <c r="K93" s="41"/>
      <c r="L93" s="42" t="s">
        <v>11</v>
      </c>
      <c r="M93" s="42"/>
    </row>
    <row r="94" spans="1:13">
      <c r="A94" s="42">
        <v>2</v>
      </c>
      <c r="B94" s="42">
        <v>2025</v>
      </c>
      <c r="C94" s="42"/>
      <c r="D94" s="42" t="str">
        <f t="shared" si="15"/>
        <v>Celebrando o livramento do Senhor</v>
      </c>
      <c r="E94" s="66"/>
      <c r="F94" s="71">
        <f t="shared" si="16"/>
        <v>45942</v>
      </c>
      <c r="G94" s="44"/>
      <c r="H94" s="41" t="s">
        <v>259</v>
      </c>
      <c r="I94" s="41" t="s">
        <v>260</v>
      </c>
      <c r="J94" s="258"/>
      <c r="K94" s="41"/>
      <c r="L94" s="42" t="s">
        <v>11</v>
      </c>
      <c r="M94" s="42"/>
    </row>
    <row r="95" spans="1:13">
      <c r="A95" s="42">
        <v>2</v>
      </c>
      <c r="B95" s="42">
        <v>2025</v>
      </c>
      <c r="C95" s="42"/>
      <c r="D95" s="42" t="str">
        <f t="shared" si="15"/>
        <v>Celebrando o livramento do Senhor</v>
      </c>
      <c r="E95" s="66"/>
      <c r="F95" s="71">
        <f t="shared" si="16"/>
        <v>45949</v>
      </c>
      <c r="G95" s="44"/>
      <c r="H95" s="41" t="s">
        <v>262</v>
      </c>
      <c r="I95" s="41" t="s">
        <v>616</v>
      </c>
      <c r="J95" s="257" t="s">
        <v>617</v>
      </c>
      <c r="K95" s="41"/>
      <c r="L95" s="42" t="s">
        <v>11</v>
      </c>
      <c r="M95" s="42"/>
    </row>
    <row r="96" spans="1:13">
      <c r="A96" s="42">
        <v>2</v>
      </c>
      <c r="B96" s="42">
        <v>2025</v>
      </c>
      <c r="C96" s="42"/>
      <c r="D96" s="42" t="str">
        <f t="shared" si="15"/>
        <v>Jó</v>
      </c>
      <c r="E96" s="66"/>
      <c r="F96" s="71">
        <f t="shared" si="16"/>
        <v>45956</v>
      </c>
      <c r="G96" s="44"/>
      <c r="H96" s="41" t="s">
        <v>262</v>
      </c>
      <c r="I96" s="41" t="s">
        <v>616</v>
      </c>
      <c r="J96" s="260"/>
      <c r="K96" s="41"/>
      <c r="L96" s="42" t="s">
        <v>11</v>
      </c>
      <c r="M96" s="42"/>
    </row>
    <row r="97" spans="1:13">
      <c r="A97" s="42">
        <v>2</v>
      </c>
      <c r="B97" s="42">
        <v>2025</v>
      </c>
      <c r="C97" s="42"/>
      <c r="D97" s="42" t="str">
        <f t="shared" si="15"/>
        <v>Jó</v>
      </c>
      <c r="E97" s="66"/>
      <c r="F97" s="71">
        <f t="shared" si="16"/>
        <v>45963</v>
      </c>
      <c r="G97" s="44"/>
      <c r="H97" s="42" t="s">
        <v>618</v>
      </c>
      <c r="I97" s="42" t="s">
        <v>618</v>
      </c>
      <c r="J97" s="260"/>
      <c r="K97" s="41"/>
      <c r="L97" s="42" t="s">
        <v>11</v>
      </c>
      <c r="M97" s="42"/>
    </row>
    <row r="98" spans="1:13">
      <c r="A98" s="42">
        <v>2</v>
      </c>
      <c r="B98" s="42">
        <v>2025</v>
      </c>
      <c r="C98" s="42"/>
      <c r="D98" s="42" t="str">
        <f t="shared" si="15"/>
        <v>Deus protege seu povo através de um copeiro – As muralhas reconstruídas</v>
      </c>
      <c r="E98" s="66"/>
      <c r="F98" s="71">
        <f t="shared" si="16"/>
        <v>45970</v>
      </c>
      <c r="G98" s="44"/>
      <c r="H98" s="42" t="s">
        <v>618</v>
      </c>
      <c r="I98" s="42" t="s">
        <v>618</v>
      </c>
      <c r="J98" s="260"/>
      <c r="K98" s="41"/>
      <c r="L98" s="42" t="s">
        <v>11</v>
      </c>
      <c r="M98" s="42"/>
    </row>
    <row r="99" spans="1:13">
      <c r="A99" s="42">
        <v>2</v>
      </c>
      <c r="B99" s="42">
        <v>2025</v>
      </c>
      <c r="C99" s="42"/>
      <c r="D99" s="42" t="str">
        <f t="shared" si="15"/>
        <v>Deus revive seu povo através de um escriba – O povo de Deus se arrepende</v>
      </c>
      <c r="E99" s="66"/>
      <c r="F99" s="71">
        <f t="shared" si="16"/>
        <v>45977</v>
      </c>
      <c r="G99" s="44"/>
      <c r="H99" s="41" t="s">
        <v>267</v>
      </c>
      <c r="I99" s="41" t="s">
        <v>268</v>
      </c>
      <c r="J99" s="260"/>
      <c r="K99" s="41"/>
      <c r="L99" s="42" t="s">
        <v>11</v>
      </c>
      <c r="M99" s="42"/>
    </row>
    <row r="100" spans="1:13">
      <c r="A100" s="42">
        <v>2</v>
      </c>
      <c r="B100" s="42">
        <v>2025</v>
      </c>
      <c r="C100" s="42"/>
      <c r="D100" s="42" t="str">
        <f t="shared" si="15"/>
        <v>Deus adverte seu povo através de um profeta</v>
      </c>
      <c r="E100" s="66"/>
      <c r="F100" s="71">
        <f t="shared" si="16"/>
        <v>45984</v>
      </c>
      <c r="G100" s="44"/>
      <c r="H100" s="41" t="s">
        <v>270</v>
      </c>
      <c r="I100" s="41" t="s">
        <v>271</v>
      </c>
      <c r="J100" s="260"/>
      <c r="K100" s="41"/>
      <c r="L100" s="42" t="s">
        <v>11</v>
      </c>
      <c r="M100" s="42"/>
    </row>
    <row r="101" spans="1:13">
      <c r="A101" s="42">
        <v>2</v>
      </c>
      <c r="B101" s="42">
        <v>2025</v>
      </c>
      <c r="C101" s="42"/>
      <c r="D101" s="42" t="str">
        <f t="shared" si="15"/>
        <v>Período intertestamentário</v>
      </c>
      <c r="E101" s="66"/>
      <c r="F101" s="71">
        <f t="shared" si="16"/>
        <v>45991</v>
      </c>
      <c r="G101" s="44"/>
      <c r="H101" s="41" t="s">
        <v>274</v>
      </c>
      <c r="I101" s="41" t="s">
        <v>275</v>
      </c>
      <c r="J101" s="258"/>
      <c r="K101" s="41"/>
      <c r="L101" s="42" t="s">
        <v>11</v>
      </c>
      <c r="M101" s="42"/>
    </row>
    <row r="102" spans="1:13">
      <c r="A102" s="42">
        <v>2</v>
      </c>
      <c r="B102" s="42">
        <v>2025</v>
      </c>
      <c r="C102" s="42"/>
      <c r="D102" s="42" t="str">
        <f t="shared" si="15"/>
        <v>Nascimento de Jesus</v>
      </c>
      <c r="E102" s="66"/>
      <c r="F102" s="71">
        <f t="shared" si="16"/>
        <v>45998</v>
      </c>
      <c r="G102" s="44"/>
      <c r="H102" s="3" t="s">
        <v>619</v>
      </c>
      <c r="I102" s="41"/>
      <c r="J102" s="41" t="s">
        <v>619</v>
      </c>
      <c r="K102" s="41"/>
      <c r="L102" s="42"/>
      <c r="M102" s="42"/>
    </row>
    <row r="103" spans="1:13">
      <c r="A103" s="42">
        <v>2</v>
      </c>
      <c r="B103" s="42">
        <v>2025</v>
      </c>
      <c r="C103" s="42"/>
      <c r="D103" s="41" t="str">
        <f>H106</f>
        <v>Evangelhos</v>
      </c>
      <c r="E103" s="64"/>
      <c r="F103" s="71">
        <f t="shared" si="16"/>
        <v>46005</v>
      </c>
      <c r="G103" s="44"/>
      <c r="H103" s="41" t="s">
        <v>620</v>
      </c>
      <c r="I103" s="41" t="s">
        <v>621</v>
      </c>
      <c r="J103" s="41"/>
      <c r="K103" s="41"/>
      <c r="L103" s="41" t="s">
        <v>227</v>
      </c>
      <c r="M103" s="42"/>
    </row>
    <row r="104" spans="1:13">
      <c r="A104" s="42">
        <v>2</v>
      </c>
      <c r="B104" s="42">
        <v>2025</v>
      </c>
      <c r="C104" s="42"/>
      <c r="D104" s="42"/>
      <c r="E104" s="66"/>
      <c r="F104" s="71">
        <f t="shared" si="16"/>
        <v>46012</v>
      </c>
      <c r="G104" s="44"/>
      <c r="H104" s="3" t="s">
        <v>429</v>
      </c>
      <c r="I104" s="41"/>
      <c r="J104" s="41"/>
      <c r="K104" s="41"/>
      <c r="L104" s="41"/>
      <c r="M104" s="42"/>
    </row>
    <row r="105" spans="1:13">
      <c r="A105" s="42">
        <v>2</v>
      </c>
      <c r="B105" s="42">
        <v>2025</v>
      </c>
      <c r="C105" s="42"/>
      <c r="D105" s="42"/>
      <c r="E105" s="66"/>
      <c r="F105" s="71">
        <f t="shared" si="16"/>
        <v>46019</v>
      </c>
      <c r="G105" s="44"/>
      <c r="H105" s="3" t="s">
        <v>430</v>
      </c>
      <c r="I105" s="42"/>
      <c r="J105" s="41"/>
      <c r="K105" s="41"/>
      <c r="L105" s="41"/>
      <c r="M105" s="42"/>
    </row>
    <row r="106" spans="1:13">
      <c r="A106" s="42">
        <v>3</v>
      </c>
      <c r="B106" s="42">
        <v>2026</v>
      </c>
      <c r="C106" s="42"/>
      <c r="D106" s="41" t="str">
        <f>H107</f>
        <v>Evangelhos</v>
      </c>
      <c r="E106" s="64"/>
      <c r="F106" s="71">
        <f t="shared" si="16"/>
        <v>46026</v>
      </c>
      <c r="G106" s="44"/>
      <c r="H106" s="41" t="s">
        <v>131</v>
      </c>
      <c r="I106" s="41" t="s">
        <v>622</v>
      </c>
      <c r="J106" s="257" t="s">
        <v>131</v>
      </c>
      <c r="K106" s="41"/>
      <c r="L106" s="41" t="s">
        <v>227</v>
      </c>
      <c r="M106" s="42"/>
    </row>
    <row r="107" spans="1:13">
      <c r="A107" s="42">
        <v>3</v>
      </c>
      <c r="B107" s="42">
        <v>2026</v>
      </c>
      <c r="C107" s="42"/>
      <c r="D107" s="41" t="str">
        <f t="shared" ref="D107:D153" si="17">H108</f>
        <v>Evangelhos</v>
      </c>
      <c r="E107" s="64"/>
      <c r="F107" s="71">
        <f t="shared" si="16"/>
        <v>46033</v>
      </c>
      <c r="G107" s="44"/>
      <c r="H107" s="41" t="s">
        <v>131</v>
      </c>
      <c r="I107" s="41" t="s">
        <v>623</v>
      </c>
      <c r="J107" s="260"/>
      <c r="K107" s="41"/>
      <c r="L107" s="41" t="s">
        <v>227</v>
      </c>
      <c r="M107" s="42"/>
    </row>
    <row r="108" spans="1:13">
      <c r="A108" s="42">
        <v>3</v>
      </c>
      <c r="B108" s="42">
        <v>2026</v>
      </c>
      <c r="C108" s="42"/>
      <c r="D108" s="41" t="str">
        <f t="shared" si="17"/>
        <v>Evangelhos</v>
      </c>
      <c r="E108" s="64"/>
      <c r="F108" s="71">
        <f t="shared" si="16"/>
        <v>46040</v>
      </c>
      <c r="G108" s="44"/>
      <c r="H108" s="41" t="s">
        <v>131</v>
      </c>
      <c r="I108" s="41" t="s">
        <v>624</v>
      </c>
      <c r="J108" s="260"/>
      <c r="K108" s="41"/>
      <c r="L108" s="41" t="s">
        <v>227</v>
      </c>
      <c r="M108" s="42"/>
    </row>
    <row r="109" spans="1:13">
      <c r="A109" s="42">
        <v>3</v>
      </c>
      <c r="B109" s="42">
        <v>2026</v>
      </c>
      <c r="C109" s="42"/>
      <c r="D109" s="41" t="str">
        <f t="shared" si="17"/>
        <v>Evangelhos</v>
      </c>
      <c r="E109" s="64"/>
      <c r="F109" s="71">
        <f t="shared" si="16"/>
        <v>46047</v>
      </c>
      <c r="G109" s="44"/>
      <c r="H109" s="41" t="s">
        <v>131</v>
      </c>
      <c r="I109" s="41" t="s">
        <v>625</v>
      </c>
      <c r="J109" s="260"/>
      <c r="K109" s="41"/>
      <c r="L109" s="41" t="s">
        <v>227</v>
      </c>
      <c r="M109" s="42"/>
    </row>
    <row r="110" spans="1:13">
      <c r="A110" s="42">
        <v>3</v>
      </c>
      <c r="B110" s="42">
        <v>2026</v>
      </c>
      <c r="C110" s="42"/>
      <c r="D110" s="41" t="str">
        <f t="shared" si="17"/>
        <v>Evangelhos</v>
      </c>
      <c r="E110" s="64"/>
      <c r="F110" s="71">
        <f t="shared" si="16"/>
        <v>46054</v>
      </c>
      <c r="G110" s="44"/>
      <c r="H110" s="41" t="s">
        <v>131</v>
      </c>
      <c r="I110" s="41" t="s">
        <v>626</v>
      </c>
      <c r="J110" s="260"/>
      <c r="K110" s="41"/>
      <c r="L110" s="41" t="s">
        <v>227</v>
      </c>
      <c r="M110" s="41" t="s">
        <v>627</v>
      </c>
    </row>
    <row r="111" spans="1:13">
      <c r="A111" s="42">
        <v>3</v>
      </c>
      <c r="B111" s="42">
        <v>2026</v>
      </c>
      <c r="C111" s="42"/>
      <c r="D111" s="41" t="str">
        <f t="shared" si="17"/>
        <v>Feriado de Carnaval</v>
      </c>
      <c r="E111" s="64"/>
      <c r="F111" s="71">
        <f t="shared" si="16"/>
        <v>46061</v>
      </c>
      <c r="G111" s="44"/>
      <c r="H111" s="41" t="s">
        <v>131</v>
      </c>
      <c r="I111" s="41" t="s">
        <v>628</v>
      </c>
      <c r="J111" s="260"/>
      <c r="K111" s="41"/>
      <c r="L111" s="41" t="s">
        <v>227</v>
      </c>
      <c r="M111" s="42"/>
    </row>
    <row r="112" spans="1:13">
      <c r="A112" s="42">
        <v>3</v>
      </c>
      <c r="B112" s="42">
        <v>2026</v>
      </c>
      <c r="C112" s="42"/>
      <c r="D112" s="41" t="str">
        <f t="shared" si="17"/>
        <v>Evangelhos</v>
      </c>
      <c r="E112" s="64"/>
      <c r="F112" s="71">
        <f t="shared" si="16"/>
        <v>46068</v>
      </c>
      <c r="G112" s="44"/>
      <c r="H112" s="3" t="s">
        <v>575</v>
      </c>
      <c r="I112" s="41" t="s">
        <v>629</v>
      </c>
      <c r="J112" s="260"/>
      <c r="K112" s="41"/>
      <c r="L112" s="41" t="s">
        <v>227</v>
      </c>
      <c r="M112" s="42"/>
    </row>
    <row r="113" spans="1:13">
      <c r="A113" s="42">
        <v>3</v>
      </c>
      <c r="B113" s="42">
        <v>2026</v>
      </c>
      <c r="C113" s="42"/>
      <c r="D113" s="41" t="str">
        <f t="shared" si="17"/>
        <v>Evangelhos</v>
      </c>
      <c r="E113" s="64"/>
      <c r="F113" s="71">
        <f t="shared" si="16"/>
        <v>46075</v>
      </c>
      <c r="G113" s="44"/>
      <c r="H113" s="41" t="s">
        <v>131</v>
      </c>
      <c r="I113" s="41"/>
      <c r="J113" s="260"/>
      <c r="K113" s="41"/>
      <c r="L113" s="41" t="s">
        <v>227</v>
      </c>
      <c r="M113" s="42"/>
    </row>
    <row r="114" spans="1:13">
      <c r="A114" s="42">
        <v>3</v>
      </c>
      <c r="B114" s="42">
        <v>2026</v>
      </c>
      <c r="C114" s="42"/>
      <c r="D114" s="41" t="str">
        <f t="shared" si="17"/>
        <v>Transformados pelo Espírito Santo</v>
      </c>
      <c r="E114" s="64"/>
      <c r="F114" s="71">
        <f t="shared" si="16"/>
        <v>46082</v>
      </c>
      <c r="G114" s="44"/>
      <c r="H114" s="41" t="s">
        <v>131</v>
      </c>
      <c r="I114" s="41"/>
      <c r="J114" s="258"/>
      <c r="K114" s="41"/>
      <c r="L114" s="41" t="s">
        <v>227</v>
      </c>
      <c r="M114" s="42"/>
    </row>
    <row r="115" spans="1:13">
      <c r="A115" s="42">
        <v>3</v>
      </c>
      <c r="B115" s="42">
        <v>2026</v>
      </c>
      <c r="C115" s="42"/>
      <c r="D115" s="41" t="str">
        <f t="shared" si="17"/>
        <v>Vida Comum na Igreja
Curas, Pregação e Perseguição</v>
      </c>
      <c r="E115" s="64"/>
      <c r="F115" s="71">
        <f t="shared" si="16"/>
        <v>46089</v>
      </c>
      <c r="G115" s="44"/>
      <c r="H115" s="48" t="s">
        <v>309</v>
      </c>
      <c r="I115" s="41" t="s">
        <v>630</v>
      </c>
      <c r="J115" s="257" t="s">
        <v>631</v>
      </c>
      <c r="K115" s="41"/>
      <c r="L115" s="41" t="s">
        <v>227</v>
      </c>
      <c r="M115" s="42"/>
    </row>
    <row r="116" spans="1:13">
      <c r="A116" s="42">
        <v>3</v>
      </c>
      <c r="B116" s="42">
        <v>2026</v>
      </c>
      <c r="C116" s="42"/>
      <c r="D116" s="41" t="str">
        <f t="shared" si="17"/>
        <v>O sermão de Estêvão</v>
      </c>
      <c r="E116" s="64"/>
      <c r="F116" s="71">
        <f t="shared" si="16"/>
        <v>46096</v>
      </c>
      <c r="G116" s="44"/>
      <c r="H116" s="41" t="s">
        <v>312</v>
      </c>
      <c r="I116" s="41" t="s">
        <v>632</v>
      </c>
      <c r="J116" s="260"/>
      <c r="K116" s="41"/>
      <c r="L116" s="41" t="s">
        <v>227</v>
      </c>
      <c r="M116" s="42"/>
    </row>
    <row r="117" spans="1:13">
      <c r="A117" s="42">
        <v>3</v>
      </c>
      <c r="B117" s="42">
        <v>2026</v>
      </c>
      <c r="C117" s="42"/>
      <c r="D117" s="41" t="str">
        <f t="shared" si="17"/>
        <v>O testemunho de Filipe fora de Jerusalém</v>
      </c>
      <c r="E117" s="64"/>
      <c r="F117" s="71">
        <f t="shared" si="16"/>
        <v>46103</v>
      </c>
      <c r="G117" s="44"/>
      <c r="H117" s="41" t="s">
        <v>315</v>
      </c>
      <c r="I117" s="41" t="s">
        <v>633</v>
      </c>
      <c r="J117" s="260"/>
      <c r="K117" s="41"/>
      <c r="L117" s="41" t="s">
        <v>227</v>
      </c>
      <c r="M117" s="42"/>
    </row>
    <row r="118" spans="1:13">
      <c r="A118" s="42">
        <v>3</v>
      </c>
      <c r="B118" s="42">
        <v>2026</v>
      </c>
      <c r="C118" s="42"/>
      <c r="D118" s="41" t="str">
        <f t="shared" si="17"/>
        <v>Domingo de Páscoa</v>
      </c>
      <c r="E118" s="64"/>
      <c r="F118" s="71">
        <f t="shared" si="16"/>
        <v>46110</v>
      </c>
      <c r="G118" s="44"/>
      <c r="H118" s="41" t="s">
        <v>318</v>
      </c>
      <c r="I118" s="41" t="s">
        <v>319</v>
      </c>
      <c r="J118" s="258"/>
      <c r="K118" s="41"/>
      <c r="L118" s="41" t="s">
        <v>227</v>
      </c>
      <c r="M118" s="42"/>
    </row>
    <row r="119" spans="1:13">
      <c r="A119" s="42">
        <v>3</v>
      </c>
      <c r="B119" s="42">
        <v>2026</v>
      </c>
      <c r="C119" s="42"/>
      <c r="D119" s="41" t="str">
        <f t="shared" si="17"/>
        <v>A conversão de Saulo</v>
      </c>
      <c r="E119" s="64"/>
      <c r="F119" s="71">
        <f t="shared" si="16"/>
        <v>46117</v>
      </c>
      <c r="G119" s="44"/>
      <c r="H119" s="3" t="s">
        <v>475</v>
      </c>
      <c r="I119" s="41"/>
      <c r="J119" s="41"/>
      <c r="K119" s="41"/>
      <c r="L119" s="41"/>
      <c r="M119" s="42"/>
    </row>
    <row r="120" spans="1:13">
      <c r="A120" s="42">
        <v>3</v>
      </c>
      <c r="B120" s="42">
        <v>2026</v>
      </c>
      <c r="C120" s="42"/>
      <c r="D120" s="41" t="str">
        <f t="shared" si="17"/>
        <v>A igreja é enviada a todos (Pedro e Cornélio) + Barnabé em Antioquia</v>
      </c>
      <c r="E120" s="64"/>
      <c r="F120" s="71">
        <f t="shared" si="16"/>
        <v>46124</v>
      </c>
      <c r="G120" s="44"/>
      <c r="H120" s="41" t="s">
        <v>322</v>
      </c>
      <c r="I120" s="41" t="s">
        <v>634</v>
      </c>
      <c r="J120" s="257" t="s">
        <v>635</v>
      </c>
      <c r="K120" s="41"/>
      <c r="L120" s="41" t="s">
        <v>227</v>
      </c>
      <c r="M120" s="42"/>
    </row>
    <row r="121" spans="1:13">
      <c r="A121" s="42">
        <v>3</v>
      </c>
      <c r="B121" s="42">
        <v>2026</v>
      </c>
      <c r="C121" s="42"/>
      <c r="D121" s="41" t="str">
        <f t="shared" si="17"/>
        <v>A igreja de Jerusalém é perseguida</v>
      </c>
      <c r="E121" s="64"/>
      <c r="F121" s="71">
        <f t="shared" si="16"/>
        <v>46131</v>
      </c>
      <c r="G121" s="44"/>
      <c r="H121" s="41" t="s">
        <v>325</v>
      </c>
      <c r="I121" s="41" t="s">
        <v>636</v>
      </c>
      <c r="J121" s="260"/>
      <c r="K121" s="41"/>
      <c r="L121" s="41" t="s">
        <v>227</v>
      </c>
      <c r="M121" s="42"/>
    </row>
    <row r="122" spans="1:13">
      <c r="A122" s="42">
        <v>3</v>
      </c>
      <c r="B122" s="42">
        <v>2026</v>
      </c>
      <c r="C122" s="42"/>
      <c r="D122" s="41" t="str">
        <f t="shared" si="17"/>
        <v>A primeira viagem missionária de Paulo</v>
      </c>
      <c r="E122" s="64"/>
      <c r="F122" s="71">
        <f t="shared" si="16"/>
        <v>46138</v>
      </c>
      <c r="G122" s="44"/>
      <c r="H122" s="41" t="s">
        <v>328</v>
      </c>
      <c r="I122" s="41" t="s">
        <v>637</v>
      </c>
      <c r="J122" s="258"/>
      <c r="K122" s="41"/>
      <c r="L122" s="41" t="s">
        <v>227</v>
      </c>
      <c r="M122" s="42"/>
    </row>
    <row r="123" spans="1:13">
      <c r="A123" s="42">
        <v>3</v>
      </c>
      <c r="B123" s="42">
        <v>2026</v>
      </c>
      <c r="C123" s="42"/>
      <c r="D123" s="41" t="str">
        <f t="shared" si="17"/>
        <v>O Concílio de Jerusalém</v>
      </c>
      <c r="E123" s="64"/>
      <c r="F123" s="71">
        <f t="shared" si="16"/>
        <v>46145</v>
      </c>
      <c r="G123" s="44"/>
      <c r="H123" s="41" t="s">
        <v>332</v>
      </c>
      <c r="I123" s="41" t="s">
        <v>638</v>
      </c>
      <c r="J123" s="257" t="s">
        <v>639</v>
      </c>
      <c r="K123" s="41"/>
      <c r="L123" s="41" t="s">
        <v>227</v>
      </c>
      <c r="M123" s="42"/>
    </row>
    <row r="124" spans="1:13">
      <c r="A124" s="42">
        <v>3</v>
      </c>
      <c r="B124" s="42">
        <v>2026</v>
      </c>
      <c r="C124" s="42"/>
      <c r="D124" s="41" t="str">
        <f t="shared" si="17"/>
        <v>A segunda viagem missionária de Paulo</v>
      </c>
      <c r="E124" s="64"/>
      <c r="F124" s="71">
        <f t="shared" si="16"/>
        <v>46152</v>
      </c>
      <c r="G124" s="44"/>
      <c r="H124" s="41" t="s">
        <v>335</v>
      </c>
      <c r="I124" s="41" t="s">
        <v>640</v>
      </c>
      <c r="J124" s="260"/>
      <c r="K124" s="41"/>
      <c r="L124" s="41" t="s">
        <v>227</v>
      </c>
      <c r="M124" s="42"/>
    </row>
    <row r="125" spans="1:13">
      <c r="A125" s="42">
        <v>3</v>
      </c>
      <c r="B125" s="42">
        <v>2026</v>
      </c>
      <c r="C125" s="42"/>
      <c r="D125" s="41" t="str">
        <f t="shared" si="17"/>
        <v>A igreja é unida pela esperança</v>
      </c>
      <c r="E125" s="64"/>
      <c r="F125" s="71">
        <f t="shared" si="16"/>
        <v>46159</v>
      </c>
      <c r="G125" s="44"/>
      <c r="H125" s="41" t="s">
        <v>338</v>
      </c>
      <c r="I125" s="41" t="s">
        <v>641</v>
      </c>
      <c r="J125" s="260"/>
      <c r="K125" s="41"/>
      <c r="L125" s="41" t="s">
        <v>227</v>
      </c>
      <c r="M125" s="42"/>
    </row>
    <row r="126" spans="1:13">
      <c r="A126" s="42">
        <v>3</v>
      </c>
      <c r="B126" s="42">
        <v>2026</v>
      </c>
      <c r="C126" s="42"/>
      <c r="D126" s="41" t="str">
        <f t="shared" si="17"/>
        <v>A igreja é unida pela esperança</v>
      </c>
      <c r="E126" s="64"/>
      <c r="F126" s="71">
        <f t="shared" si="16"/>
        <v>46166</v>
      </c>
      <c r="G126" s="44"/>
      <c r="H126" s="48" t="s">
        <v>341</v>
      </c>
      <c r="I126" s="41" t="s">
        <v>642</v>
      </c>
      <c r="J126" s="260"/>
      <c r="K126" s="41"/>
      <c r="L126" s="41" t="s">
        <v>227</v>
      </c>
      <c r="M126" s="42" t="s">
        <v>643</v>
      </c>
    </row>
    <row r="127" spans="1:13">
      <c r="A127" s="42">
        <v>3</v>
      </c>
      <c r="B127" s="42">
        <v>2026</v>
      </c>
      <c r="C127" s="42"/>
      <c r="D127" s="41" t="str">
        <f t="shared" si="17"/>
        <v>A terceira viagem missionária de Paulo</v>
      </c>
      <c r="E127" s="64"/>
      <c r="F127" s="71">
        <f t="shared" si="16"/>
        <v>46173</v>
      </c>
      <c r="G127" s="44"/>
      <c r="H127" s="48" t="s">
        <v>341</v>
      </c>
      <c r="I127" s="41" t="s">
        <v>644</v>
      </c>
      <c r="J127" s="260"/>
      <c r="K127" s="41"/>
      <c r="L127" s="41" t="s">
        <v>227</v>
      </c>
      <c r="M127" s="42"/>
    </row>
    <row r="128" spans="1:13">
      <c r="A128" s="42">
        <v>3</v>
      </c>
      <c r="B128" s="42">
        <v>2026</v>
      </c>
      <c r="C128" s="42"/>
      <c r="D128" s="41" t="str">
        <f t="shared" si="17"/>
        <v>A igreja é unida pelo Evangelho</v>
      </c>
      <c r="E128" s="64"/>
      <c r="F128" s="71">
        <f t="shared" si="16"/>
        <v>46180</v>
      </c>
      <c r="G128" s="44"/>
      <c r="H128" s="48" t="s">
        <v>344</v>
      </c>
      <c r="I128" s="41" t="s">
        <v>645</v>
      </c>
      <c r="J128" s="258"/>
      <c r="K128" s="41"/>
      <c r="L128" s="41" t="s">
        <v>227</v>
      </c>
      <c r="M128" s="42"/>
    </row>
    <row r="129" spans="1:13">
      <c r="A129" s="42">
        <v>3</v>
      </c>
      <c r="B129" s="42">
        <v>2026</v>
      </c>
      <c r="C129" s="42"/>
      <c r="D129" s="41" t="str">
        <f t="shared" si="17"/>
        <v>Correções e instruções</v>
      </c>
      <c r="E129" s="64"/>
      <c r="F129" s="71">
        <f t="shared" si="16"/>
        <v>46187</v>
      </c>
      <c r="G129" s="44"/>
      <c r="H129" s="48" t="s">
        <v>351</v>
      </c>
      <c r="I129" s="41" t="s">
        <v>646</v>
      </c>
      <c r="J129" s="257" t="s">
        <v>350</v>
      </c>
      <c r="K129" s="41"/>
      <c r="L129" s="41" t="s">
        <v>227</v>
      </c>
      <c r="M129" s="42"/>
    </row>
    <row r="130" spans="1:13">
      <c r="A130" s="42">
        <v>3</v>
      </c>
      <c r="B130" s="42">
        <v>2026</v>
      </c>
      <c r="C130" s="42"/>
      <c r="D130" s="41" t="str">
        <f t="shared" si="17"/>
        <v>O poder do Espírito para nos transformar</v>
      </c>
      <c r="E130" s="64"/>
      <c r="F130" s="71">
        <f t="shared" si="16"/>
        <v>46194</v>
      </c>
      <c r="G130" s="44"/>
      <c r="H130" s="48" t="s">
        <v>354</v>
      </c>
      <c r="I130" s="41" t="s">
        <v>647</v>
      </c>
      <c r="J130" s="260"/>
      <c r="K130" s="41"/>
      <c r="L130" s="41" t="s">
        <v>227</v>
      </c>
      <c r="M130" s="42"/>
    </row>
    <row r="131" spans="1:13">
      <c r="A131" s="42">
        <v>3</v>
      </c>
      <c r="B131" s="42">
        <v>2026</v>
      </c>
      <c r="C131" s="42"/>
      <c r="D131" s="41" t="str">
        <f t="shared" si="17"/>
        <v>Guardando o evangelho</v>
      </c>
      <c r="E131" s="64"/>
      <c r="F131" s="71">
        <f t="shared" si="16"/>
        <v>46201</v>
      </c>
      <c r="G131" s="44"/>
      <c r="H131" s="48" t="s">
        <v>360</v>
      </c>
      <c r="I131" s="41" t="s">
        <v>648</v>
      </c>
      <c r="J131" s="260"/>
      <c r="K131" s="41"/>
      <c r="L131" s="41" t="s">
        <v>227</v>
      </c>
      <c r="M131" s="42"/>
    </row>
    <row r="132" spans="1:13">
      <c r="A132" s="42">
        <v>3</v>
      </c>
      <c r="B132" s="42">
        <v>2026</v>
      </c>
      <c r="C132" s="42"/>
      <c r="D132" s="41" t="str">
        <f t="shared" si="17"/>
        <v>Confiando no evangelho - perdição e justiça</v>
      </c>
      <c r="E132" s="64"/>
      <c r="F132" s="71">
        <f t="shared" ref="F132:F157" si="18">+F131+7</f>
        <v>46208</v>
      </c>
      <c r="G132" s="44"/>
      <c r="H132" s="48" t="s">
        <v>363</v>
      </c>
      <c r="I132" s="41" t="s">
        <v>649</v>
      </c>
      <c r="J132" s="260"/>
      <c r="K132" s="41"/>
      <c r="L132" s="41" t="s">
        <v>227</v>
      </c>
      <c r="M132" s="42"/>
    </row>
    <row r="133" spans="1:13">
      <c r="A133" s="42">
        <v>3</v>
      </c>
      <c r="B133" s="42">
        <v>2026</v>
      </c>
      <c r="C133" s="42"/>
      <c r="D133" s="41" t="str">
        <f t="shared" si="17"/>
        <v>Confiando no Evangelho - santificação (6 a 8) e escatologia (9 a 11)</v>
      </c>
      <c r="E133" s="64"/>
      <c r="F133" s="71">
        <f t="shared" si="18"/>
        <v>46215</v>
      </c>
      <c r="G133" s="44"/>
      <c r="H133" s="48" t="s">
        <v>366</v>
      </c>
      <c r="I133" s="41" t="s">
        <v>650</v>
      </c>
      <c r="J133" s="260"/>
      <c r="K133" s="41"/>
      <c r="L133" s="41" t="s">
        <v>227</v>
      </c>
      <c r="M133" s="42" t="s">
        <v>651</v>
      </c>
    </row>
    <row r="134" spans="1:13" ht="29.1">
      <c r="A134" s="42">
        <v>3</v>
      </c>
      <c r="B134" s="42">
        <v>2026</v>
      </c>
      <c r="C134" s="42"/>
      <c r="D134" s="41" t="str">
        <f t="shared" si="17"/>
        <v>Confiando no Evangelho - orientações práticas para a vida da igreja</v>
      </c>
      <c r="E134" s="64"/>
      <c r="F134" s="71">
        <f t="shared" si="18"/>
        <v>46222</v>
      </c>
      <c r="G134" s="44"/>
      <c r="H134" s="48" t="s">
        <v>369</v>
      </c>
      <c r="I134" s="41" t="s">
        <v>652</v>
      </c>
      <c r="J134" s="260"/>
      <c r="K134" s="41"/>
      <c r="L134" s="41" t="s">
        <v>227</v>
      </c>
      <c r="M134" s="42" t="s">
        <v>653</v>
      </c>
    </row>
    <row r="135" spans="1:13" ht="29.1">
      <c r="A135" s="42">
        <v>3</v>
      </c>
      <c r="B135" s="42">
        <v>2026</v>
      </c>
      <c r="C135" s="42"/>
      <c r="D135" s="41" t="str">
        <f t="shared" si="17"/>
        <v>Pregando em todas as circunstâncias</v>
      </c>
      <c r="E135" s="64"/>
      <c r="F135" s="71">
        <f t="shared" si="18"/>
        <v>46229</v>
      </c>
      <c r="G135" s="44"/>
      <c r="H135" s="48" t="s">
        <v>372</v>
      </c>
      <c r="I135" s="41" t="s">
        <v>654</v>
      </c>
      <c r="J135" s="260"/>
      <c r="K135" s="41"/>
      <c r="L135" s="41" t="s">
        <v>227</v>
      </c>
      <c r="M135" s="42"/>
    </row>
    <row r="136" spans="1:13">
      <c r="A136" s="42">
        <v>3</v>
      </c>
      <c r="B136" s="42">
        <v>2026</v>
      </c>
      <c r="C136" s="42"/>
      <c r="D136" s="41" t="str">
        <f t="shared" si="17"/>
        <v>A viagem de Paulo a Roma</v>
      </c>
      <c r="E136" s="64"/>
      <c r="F136" s="71">
        <f t="shared" si="18"/>
        <v>46236</v>
      </c>
      <c r="G136" s="44"/>
      <c r="H136" s="48" t="s">
        <v>375</v>
      </c>
      <c r="I136" s="41" t="s">
        <v>655</v>
      </c>
      <c r="J136" s="260"/>
      <c r="K136" s="41"/>
      <c r="L136" s="41" t="s">
        <v>227</v>
      </c>
      <c r="M136" s="42"/>
    </row>
    <row r="137" spans="1:13">
      <c r="A137" s="42">
        <v>3</v>
      </c>
      <c r="B137" s="42">
        <v>2026</v>
      </c>
      <c r="C137" s="42"/>
      <c r="D137" s="41" t="str">
        <f t="shared" si="17"/>
        <v>Perseguindo o alvo</v>
      </c>
      <c r="E137" s="64"/>
      <c r="F137" s="71">
        <f t="shared" si="18"/>
        <v>46243</v>
      </c>
      <c r="G137" s="44"/>
      <c r="H137" s="48" t="s">
        <v>378</v>
      </c>
      <c r="I137" s="41" t="s">
        <v>656</v>
      </c>
      <c r="J137" s="258"/>
      <c r="K137" s="41"/>
      <c r="L137" s="41" t="s">
        <v>227</v>
      </c>
      <c r="M137" s="42"/>
    </row>
    <row r="138" spans="1:13">
      <c r="A138" s="42">
        <v>3</v>
      </c>
      <c r="B138" s="42">
        <v>2026</v>
      </c>
      <c r="C138" s="42"/>
      <c r="D138" s="41" t="str">
        <f t="shared" si="17"/>
        <v>Experimentando uma nova identidade no evangelho de Jesus</v>
      </c>
      <c r="E138" s="64"/>
      <c r="F138" s="71">
        <f t="shared" si="18"/>
        <v>46250</v>
      </c>
      <c r="G138" s="44"/>
      <c r="H138" s="48" t="s">
        <v>381</v>
      </c>
      <c r="I138" s="41" t="s">
        <v>657</v>
      </c>
      <c r="J138" s="257" t="s">
        <v>658</v>
      </c>
      <c r="K138" s="41"/>
      <c r="L138" s="41" t="s">
        <v>227</v>
      </c>
      <c r="M138" s="42" t="s">
        <v>659</v>
      </c>
    </row>
    <row r="139" spans="1:13" ht="29.1">
      <c r="A139" s="42">
        <v>3</v>
      </c>
      <c r="B139" s="42">
        <v>2026</v>
      </c>
      <c r="C139" s="42"/>
      <c r="D139" s="41" t="str">
        <f t="shared" si="17"/>
        <v>Vivendo na graça</v>
      </c>
      <c r="E139" s="64"/>
      <c r="F139" s="71">
        <f t="shared" si="18"/>
        <v>46257</v>
      </c>
      <c r="G139" s="44"/>
      <c r="H139" s="48" t="s">
        <v>384</v>
      </c>
      <c r="I139" s="41" t="s">
        <v>660</v>
      </c>
      <c r="J139" s="260"/>
      <c r="K139" s="41"/>
      <c r="L139" s="41" t="s">
        <v>227</v>
      </c>
      <c r="M139" s="42" t="s">
        <v>661</v>
      </c>
    </row>
    <row r="140" spans="1:13">
      <c r="A140" s="42">
        <v>3</v>
      </c>
      <c r="B140" s="42">
        <v>2026</v>
      </c>
      <c r="C140" s="42"/>
      <c r="D140" s="41" t="str">
        <f t="shared" si="17"/>
        <v>Quebrando barreiras</v>
      </c>
      <c r="E140" s="64"/>
      <c r="F140" s="71">
        <f t="shared" si="18"/>
        <v>46264</v>
      </c>
      <c r="G140" s="44"/>
      <c r="H140" s="48" t="s">
        <v>387</v>
      </c>
      <c r="I140" s="41" t="s">
        <v>657</v>
      </c>
      <c r="J140" s="260"/>
      <c r="K140" s="41"/>
      <c r="L140" s="41" t="s">
        <v>227</v>
      </c>
      <c r="M140" s="42"/>
    </row>
    <row r="141" spans="1:13">
      <c r="A141" s="42">
        <v>3</v>
      </c>
      <c r="B141" s="42">
        <v>2026</v>
      </c>
      <c r="C141" s="42"/>
      <c r="D141" s="41" t="str">
        <f t="shared" si="17"/>
        <v>Cartas pastorais</v>
      </c>
      <c r="E141" s="64"/>
      <c r="F141" s="71">
        <f t="shared" si="18"/>
        <v>46271</v>
      </c>
      <c r="G141" s="44"/>
      <c r="H141" s="48" t="s">
        <v>390</v>
      </c>
      <c r="I141" s="41" t="s">
        <v>662</v>
      </c>
      <c r="J141" s="258"/>
      <c r="K141" s="41"/>
      <c r="L141" s="41" t="s">
        <v>227</v>
      </c>
      <c r="M141" s="42"/>
    </row>
    <row r="142" spans="1:13">
      <c r="A142" s="42">
        <v>3</v>
      </c>
      <c r="B142" s="42">
        <v>2026</v>
      </c>
      <c r="C142" s="42"/>
      <c r="D142" s="41" t="str">
        <f t="shared" si="17"/>
        <v>Cartas pastorais</v>
      </c>
      <c r="E142" s="64"/>
      <c r="F142" s="71">
        <f t="shared" si="18"/>
        <v>46278</v>
      </c>
      <c r="G142" s="44"/>
      <c r="H142" s="48" t="s">
        <v>393</v>
      </c>
      <c r="I142" s="41" t="s">
        <v>663</v>
      </c>
      <c r="J142" s="257" t="s">
        <v>393</v>
      </c>
      <c r="K142" s="41"/>
      <c r="L142" s="41" t="s">
        <v>227</v>
      </c>
      <c r="M142" s="42"/>
    </row>
    <row r="143" spans="1:13">
      <c r="A143" s="42">
        <v>3</v>
      </c>
      <c r="B143" s="42">
        <v>2026</v>
      </c>
      <c r="C143" s="42"/>
      <c r="D143" s="41" t="str">
        <f t="shared" si="17"/>
        <v>Confiando em tempos difíceis</v>
      </c>
      <c r="E143" s="64"/>
      <c r="F143" s="71">
        <f t="shared" si="18"/>
        <v>46285</v>
      </c>
      <c r="G143" s="44"/>
      <c r="H143" s="48" t="s">
        <v>393</v>
      </c>
      <c r="I143" s="41" t="s">
        <v>664</v>
      </c>
      <c r="J143" s="258"/>
      <c r="K143" s="41"/>
      <c r="L143" s="41" t="s">
        <v>227</v>
      </c>
      <c r="M143" s="42" t="s">
        <v>665</v>
      </c>
    </row>
    <row r="144" spans="1:13">
      <c r="A144" s="42">
        <v>3</v>
      </c>
      <c r="B144" s="42">
        <v>2026</v>
      </c>
      <c r="C144" s="42"/>
      <c r="D144" s="41" t="str">
        <f t="shared" si="17"/>
        <v>Buscando uma vida com Deus</v>
      </c>
      <c r="E144" s="64"/>
      <c r="F144" s="71">
        <f t="shared" si="18"/>
        <v>46292</v>
      </c>
      <c r="G144" s="44"/>
      <c r="H144" s="48" t="s">
        <v>400</v>
      </c>
      <c r="I144" s="41" t="s">
        <v>666</v>
      </c>
      <c r="J144" s="257" t="s">
        <v>667</v>
      </c>
      <c r="K144" s="41"/>
      <c r="L144" s="41" t="s">
        <v>227</v>
      </c>
      <c r="M144" s="42"/>
    </row>
    <row r="145" spans="1:13">
      <c r="A145" s="42">
        <v>3</v>
      </c>
      <c r="B145" s="42">
        <v>2026</v>
      </c>
      <c r="C145" s="42"/>
      <c r="D145" s="41" t="str">
        <f t="shared" si="17"/>
        <v>A igreja é enviada para proclamar a Jesus</v>
      </c>
      <c r="E145" s="64"/>
      <c r="F145" s="71">
        <f t="shared" si="18"/>
        <v>46299</v>
      </c>
      <c r="G145" s="44"/>
      <c r="H145" s="49" t="s">
        <v>403</v>
      </c>
      <c r="I145" s="41" t="s">
        <v>668</v>
      </c>
      <c r="J145" s="260"/>
      <c r="K145" s="41"/>
      <c r="L145" s="41" t="s">
        <v>227</v>
      </c>
      <c r="M145" s="42"/>
    </row>
    <row r="146" spans="1:13">
      <c r="A146" s="42">
        <v>3</v>
      </c>
      <c r="B146" s="42">
        <v>2026</v>
      </c>
      <c r="C146" s="42"/>
      <c r="D146" s="41" t="str">
        <f t="shared" si="17"/>
        <v>As marcas daqueles que têm comunhão com Deus - 1 João
Não seja hospitaleiro com aqueles que rejeitam a verdade - 2 João
Seja hospitaleiro com aqueles que proclamam a verdade - 3 João</v>
      </c>
      <c r="E146" s="64"/>
      <c r="F146" s="71">
        <f t="shared" si="18"/>
        <v>46306</v>
      </c>
      <c r="G146" s="44"/>
      <c r="H146" s="48" t="s">
        <v>406</v>
      </c>
      <c r="I146" s="41" t="s">
        <v>669</v>
      </c>
      <c r="J146" s="260"/>
      <c r="K146" s="41"/>
      <c r="L146" s="41" t="s">
        <v>227</v>
      </c>
      <c r="M146" s="42"/>
    </row>
    <row r="147" spans="1:13" ht="15.75" customHeight="1">
      <c r="A147" s="42">
        <v>3</v>
      </c>
      <c r="B147" s="42">
        <v>2026</v>
      </c>
      <c r="C147" s="42"/>
      <c r="D147" s="41" t="str">
        <f t="shared" si="17"/>
        <v>Cristo e os sete candeeiros (Ap 1-3)</v>
      </c>
      <c r="E147" s="64"/>
      <c r="F147" s="71">
        <f t="shared" si="18"/>
        <v>46313</v>
      </c>
      <c r="G147" s="44"/>
      <c r="H147" s="48" t="s">
        <v>412</v>
      </c>
      <c r="I147" s="41" t="s">
        <v>670</v>
      </c>
      <c r="J147" s="258"/>
      <c r="K147" s="41"/>
      <c r="L147" s="41" t="s">
        <v>227</v>
      </c>
      <c r="M147" s="42"/>
    </row>
    <row r="148" spans="1:13">
      <c r="A148" s="42">
        <v>3</v>
      </c>
      <c r="B148" s="42">
        <v>2026</v>
      </c>
      <c r="C148" s="42"/>
      <c r="D148" s="41" t="str">
        <f t="shared" si="17"/>
        <v>O Cordeiro e os sete selos (Ap 4-7)</v>
      </c>
      <c r="E148" s="64"/>
      <c r="F148" s="71">
        <f t="shared" si="18"/>
        <v>46320</v>
      </c>
      <c r="G148" s="44"/>
      <c r="H148" s="41" t="s">
        <v>671</v>
      </c>
      <c r="I148" s="41" t="s">
        <v>672</v>
      </c>
      <c r="J148" s="257" t="s">
        <v>673</v>
      </c>
      <c r="K148" s="41"/>
      <c r="L148" s="41" t="s">
        <v>227</v>
      </c>
      <c r="M148" s="42"/>
    </row>
    <row r="149" spans="1:13">
      <c r="A149" s="42">
        <v>3</v>
      </c>
      <c r="B149" s="42">
        <v>2026</v>
      </c>
      <c r="C149" s="42"/>
      <c r="D149" s="41" t="str">
        <f t="shared" si="17"/>
        <v>As sete trombetas (Ap 8-11)</v>
      </c>
      <c r="E149" s="64"/>
      <c r="F149" s="71">
        <f t="shared" si="18"/>
        <v>46327</v>
      </c>
      <c r="G149" s="44"/>
      <c r="H149" s="41" t="s">
        <v>674</v>
      </c>
      <c r="I149" s="41" t="s">
        <v>675</v>
      </c>
      <c r="J149" s="260"/>
      <c r="K149" s="41"/>
      <c r="L149" s="41" t="s">
        <v>227</v>
      </c>
      <c r="M149" s="42"/>
    </row>
    <row r="150" spans="1:13">
      <c r="A150" s="42">
        <v>3</v>
      </c>
      <c r="B150" s="42">
        <v>2026</v>
      </c>
      <c r="C150" s="42"/>
      <c r="D150" s="41" t="str">
        <f t="shared" si="17"/>
        <v>O dragão e as sete vozes (Ap 12-14)</v>
      </c>
      <c r="E150" s="64"/>
      <c r="F150" s="71">
        <f t="shared" si="18"/>
        <v>46334</v>
      </c>
      <c r="G150" s="44"/>
      <c r="H150" s="41" t="s">
        <v>676</v>
      </c>
      <c r="I150" s="41" t="s">
        <v>677</v>
      </c>
      <c r="J150" s="260"/>
      <c r="K150" s="41"/>
      <c r="L150" s="41" t="s">
        <v>227</v>
      </c>
      <c r="M150" s="42"/>
    </row>
    <row r="151" spans="1:13">
      <c r="A151" s="42">
        <v>3</v>
      </c>
      <c r="B151" s="42">
        <v>2026</v>
      </c>
      <c r="C151" s="42"/>
      <c r="D151" s="41" t="str">
        <f t="shared" si="17"/>
        <v xml:space="preserve">As sete taças (Ap 15-16) </v>
      </c>
      <c r="E151" s="64"/>
      <c r="F151" s="71">
        <f t="shared" si="18"/>
        <v>46341</v>
      </c>
      <c r="G151" s="44"/>
      <c r="H151" s="41" t="s">
        <v>678</v>
      </c>
      <c r="I151" s="41" t="s">
        <v>679</v>
      </c>
      <c r="J151" s="260"/>
      <c r="K151" s="41"/>
      <c r="L151" s="41" t="s">
        <v>227</v>
      </c>
      <c r="M151" s="42"/>
    </row>
    <row r="152" spans="1:13">
      <c r="A152" s="42">
        <v>3</v>
      </c>
      <c r="B152" s="42">
        <v>2026</v>
      </c>
      <c r="C152" s="42"/>
      <c r="D152" s="41" t="str">
        <f t="shared" si="17"/>
        <v>A destruição dos inimigos (Ap 17-19)</v>
      </c>
      <c r="E152" s="64"/>
      <c r="F152" s="71">
        <f t="shared" si="18"/>
        <v>46348</v>
      </c>
      <c r="G152" s="44"/>
      <c r="H152" s="41" t="s">
        <v>680</v>
      </c>
      <c r="I152" s="41" t="s">
        <v>681</v>
      </c>
      <c r="J152" s="260"/>
      <c r="K152" s="41"/>
      <c r="L152" s="41" t="s">
        <v>227</v>
      </c>
      <c r="M152" s="42"/>
    </row>
    <row r="153" spans="1:13">
      <c r="A153" s="42">
        <v>3</v>
      </c>
      <c r="B153" s="42">
        <v>2026</v>
      </c>
      <c r="C153" s="42"/>
      <c r="D153" s="41" t="str">
        <f t="shared" si="17"/>
        <v>As visões da consumação (Ap 20-22)</v>
      </c>
      <c r="E153" s="64"/>
      <c r="F153" s="71">
        <f t="shared" si="18"/>
        <v>46355</v>
      </c>
      <c r="G153" s="44"/>
      <c r="H153" s="41" t="s">
        <v>682</v>
      </c>
      <c r="I153" s="41" t="s">
        <v>683</v>
      </c>
      <c r="J153" s="260"/>
      <c r="K153" s="41"/>
      <c r="L153" s="41" t="s">
        <v>227</v>
      </c>
      <c r="M153" s="42"/>
    </row>
    <row r="154" spans="1:13">
      <c r="A154" s="42">
        <v>3</v>
      </c>
      <c r="B154" s="42">
        <v>2026</v>
      </c>
      <c r="C154" s="42"/>
      <c r="D154" s="41" t="s">
        <v>574</v>
      </c>
      <c r="E154" s="64"/>
      <c r="F154" s="71">
        <f t="shared" si="18"/>
        <v>46362</v>
      </c>
      <c r="G154" s="44"/>
      <c r="H154" s="41" t="s">
        <v>684</v>
      </c>
      <c r="I154" s="41" t="s">
        <v>685</v>
      </c>
      <c r="J154" s="258"/>
      <c r="K154" s="41"/>
      <c r="L154" s="41" t="s">
        <v>227</v>
      </c>
      <c r="M154" s="42"/>
    </row>
    <row r="155" spans="1:13">
      <c r="A155" s="42">
        <v>3</v>
      </c>
      <c r="B155" s="42">
        <v>2026</v>
      </c>
      <c r="C155" s="42"/>
      <c r="D155" s="42" t="s">
        <v>427</v>
      </c>
      <c r="E155" s="66"/>
      <c r="F155" s="71">
        <f t="shared" si="18"/>
        <v>46369</v>
      </c>
      <c r="G155" s="44"/>
      <c r="H155" s="3" t="s">
        <v>427</v>
      </c>
      <c r="I155" s="41"/>
      <c r="J155" s="41"/>
      <c r="K155" s="41"/>
      <c r="L155" s="42"/>
      <c r="M155" s="42"/>
    </row>
    <row r="156" spans="1:13">
      <c r="A156" s="42">
        <v>3</v>
      </c>
      <c r="B156" s="42">
        <v>2026</v>
      </c>
      <c r="C156" s="42"/>
      <c r="D156" s="42"/>
      <c r="E156" s="66"/>
      <c r="F156" s="71">
        <f t="shared" si="18"/>
        <v>46376</v>
      </c>
      <c r="G156" s="44"/>
      <c r="H156" s="3" t="s">
        <v>429</v>
      </c>
      <c r="I156" s="41"/>
      <c r="J156" s="41"/>
      <c r="K156" s="41"/>
      <c r="L156" s="42"/>
      <c r="M156" s="42"/>
    </row>
    <row r="157" spans="1:13" ht="15" thickBot="1">
      <c r="A157" s="42">
        <v>3</v>
      </c>
      <c r="B157" s="42">
        <v>2026</v>
      </c>
      <c r="C157" s="42"/>
      <c r="D157" s="42"/>
      <c r="E157" s="66"/>
      <c r="F157" s="73">
        <f t="shared" si="18"/>
        <v>46383</v>
      </c>
      <c r="G157" s="44"/>
      <c r="H157" s="3" t="s">
        <v>430</v>
      </c>
      <c r="I157" s="41"/>
      <c r="J157" s="41"/>
      <c r="K157" s="41"/>
      <c r="L157" s="42"/>
      <c r="M157" s="42"/>
    </row>
    <row r="158" spans="1:13">
      <c r="H158" s="47"/>
      <c r="I158" s="47"/>
      <c r="K158" s="47"/>
    </row>
  </sheetData>
  <mergeCells count="31">
    <mergeCell ref="J148:J154"/>
    <mergeCell ref="J120:J122"/>
    <mergeCell ref="J123:J128"/>
    <mergeCell ref="J129:J137"/>
    <mergeCell ref="J138:J141"/>
    <mergeCell ref="J142:J143"/>
    <mergeCell ref="J144:J147"/>
    <mergeCell ref="J115:J118"/>
    <mergeCell ref="J45:J46"/>
    <mergeCell ref="J47:J48"/>
    <mergeCell ref="J49:J50"/>
    <mergeCell ref="J54:J61"/>
    <mergeCell ref="J64:J67"/>
    <mergeCell ref="J68:J73"/>
    <mergeCell ref="J74:J86"/>
    <mergeCell ref="J87:J91"/>
    <mergeCell ref="J92:J94"/>
    <mergeCell ref="J95:J101"/>
    <mergeCell ref="J106:J114"/>
    <mergeCell ref="J43:J44"/>
    <mergeCell ref="A1:B1"/>
    <mergeCell ref="J2:J7"/>
    <mergeCell ref="J8:J11"/>
    <mergeCell ref="J12:J16"/>
    <mergeCell ref="J17:J20"/>
    <mergeCell ref="J21:J24"/>
    <mergeCell ref="J25:J30"/>
    <mergeCell ref="J31:J33"/>
    <mergeCell ref="J34:J36"/>
    <mergeCell ref="J37:J38"/>
    <mergeCell ref="J39:J4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128B-99D3-401D-A346-0ABE4F87845B}">
  <dimension ref="A1:N159"/>
  <sheetViews>
    <sheetView showGridLines="0" zoomScale="110" zoomScaleNormal="110" workbookViewId="0">
      <pane xSplit="1" ySplit="2" topLeftCell="B95" activePane="bottomRight" state="frozen"/>
      <selection pane="bottomRight" activeCell="D1" sqref="D1"/>
      <selection pane="bottomLeft" activeCell="D1" sqref="D1"/>
      <selection pane="topRight" activeCell="D1" sqref="D1"/>
    </sheetView>
  </sheetViews>
  <sheetFormatPr defaultRowHeight="14.45"/>
  <cols>
    <col min="1" max="1" width="2" bestFit="1" customWidth="1"/>
    <col min="3" max="3" width="8.140625" bestFit="1" customWidth="1"/>
    <col min="4" max="4" width="44.5703125" customWidth="1"/>
    <col min="5" max="5" width="29.5703125" customWidth="1"/>
    <col min="6" max="6" width="16.42578125" style="86" customWidth="1"/>
    <col min="7" max="7" width="20" customWidth="1"/>
    <col min="8" max="8" width="4" customWidth="1"/>
    <col min="9" max="9" width="66.42578125" bestFit="1" customWidth="1"/>
    <col min="10" max="10" width="24.42578125" customWidth="1"/>
    <col min="11" max="11" width="11.42578125" customWidth="1"/>
    <col min="12" max="12" width="23.5703125" customWidth="1"/>
    <col min="13" max="13" width="7.42578125" customWidth="1"/>
    <col min="14" max="14" width="45.85546875" bestFit="1" customWidth="1"/>
  </cols>
  <sheetData>
    <row r="1" spans="1:14" s="119" customFormat="1" ht="25.5" customHeight="1" thickBot="1">
      <c r="B1" s="119" t="s">
        <v>689</v>
      </c>
      <c r="F1" s="120"/>
    </row>
    <row r="2" spans="1:14" s="1" customFormat="1">
      <c r="A2" s="278" t="s">
        <v>432</v>
      </c>
      <c r="B2" s="278"/>
      <c r="C2" s="74" t="s">
        <v>433</v>
      </c>
      <c r="D2" s="76" t="s">
        <v>434</v>
      </c>
      <c r="E2" s="75" t="s">
        <v>437</v>
      </c>
      <c r="F2" s="74" t="s">
        <v>690</v>
      </c>
      <c r="G2" s="90" t="s">
        <v>435</v>
      </c>
      <c r="H2" s="77" t="s">
        <v>433</v>
      </c>
      <c r="I2" s="78" t="s">
        <v>436</v>
      </c>
      <c r="J2" s="78" t="s">
        <v>437</v>
      </c>
      <c r="K2" s="2" t="s">
        <v>438</v>
      </c>
      <c r="L2" s="2" t="s">
        <v>439</v>
      </c>
      <c r="M2" s="2" t="s">
        <v>6</v>
      </c>
      <c r="N2" s="2" t="s">
        <v>440</v>
      </c>
    </row>
    <row r="3" spans="1:14">
      <c r="A3" s="42">
        <v>1</v>
      </c>
      <c r="B3" s="42">
        <v>2024</v>
      </c>
      <c r="C3" s="57">
        <v>1</v>
      </c>
      <c r="D3" s="61" t="s">
        <v>441</v>
      </c>
      <c r="E3" s="57"/>
      <c r="F3" s="97"/>
      <c r="G3" s="91">
        <v>45298</v>
      </c>
      <c r="H3" s="67"/>
      <c r="I3" s="57" t="s">
        <v>442</v>
      </c>
      <c r="J3" s="59"/>
      <c r="K3" s="257" t="s">
        <v>443</v>
      </c>
      <c r="L3" s="2"/>
      <c r="M3" s="42" t="s">
        <v>11</v>
      </c>
      <c r="N3" s="42" t="s">
        <v>444</v>
      </c>
    </row>
    <row r="4" spans="1:14">
      <c r="A4" s="42">
        <v>1</v>
      </c>
      <c r="B4" s="42">
        <v>2024</v>
      </c>
      <c r="C4" s="57">
        <v>2</v>
      </c>
      <c r="D4" s="61" t="s">
        <v>445</v>
      </c>
      <c r="E4" s="57"/>
      <c r="F4" s="97"/>
      <c r="G4" s="91">
        <f>+G3+7</f>
        <v>45305</v>
      </c>
      <c r="H4" s="67"/>
      <c r="I4" s="57" t="s">
        <v>446</v>
      </c>
      <c r="J4" s="57" t="s">
        <v>447</v>
      </c>
      <c r="K4" s="260"/>
      <c r="L4" s="2"/>
      <c r="M4" s="42" t="s">
        <v>11</v>
      </c>
      <c r="N4" s="42" t="s">
        <v>444</v>
      </c>
    </row>
    <row r="5" spans="1:14">
      <c r="A5" s="42">
        <v>1</v>
      </c>
      <c r="B5" s="42">
        <v>2024</v>
      </c>
      <c r="C5" s="57">
        <v>3</v>
      </c>
      <c r="D5" s="61" t="s">
        <v>448</v>
      </c>
      <c r="E5" s="57"/>
      <c r="F5" s="97"/>
      <c r="G5" s="91">
        <f t="shared" ref="G5:G68" si="0">+G4+7</f>
        <v>45312</v>
      </c>
      <c r="H5" s="67"/>
      <c r="I5" s="57" t="s">
        <v>449</v>
      </c>
      <c r="J5" s="57" t="s">
        <v>450</v>
      </c>
      <c r="K5" s="260"/>
      <c r="L5" s="2"/>
      <c r="M5" s="42" t="s">
        <v>11</v>
      </c>
      <c r="N5" s="42"/>
    </row>
    <row r="6" spans="1:14">
      <c r="A6" s="42">
        <v>1</v>
      </c>
      <c r="B6" s="42">
        <v>2024</v>
      </c>
      <c r="C6" s="57">
        <v>4</v>
      </c>
      <c r="D6" s="61" t="s">
        <v>451</v>
      </c>
      <c r="E6" s="57"/>
      <c r="F6" s="97"/>
      <c r="G6" s="91">
        <f t="shared" si="0"/>
        <v>45319</v>
      </c>
      <c r="H6" s="67"/>
      <c r="I6" s="57" t="s">
        <v>452</v>
      </c>
      <c r="J6" s="57" t="s">
        <v>453</v>
      </c>
      <c r="K6" s="260"/>
      <c r="L6" s="2"/>
      <c r="M6" s="42" t="s">
        <v>11</v>
      </c>
      <c r="N6" s="42"/>
    </row>
    <row r="7" spans="1:14">
      <c r="A7" s="42">
        <v>1</v>
      </c>
      <c r="B7" s="42">
        <v>2024</v>
      </c>
      <c r="C7" s="57">
        <v>5</v>
      </c>
      <c r="D7" s="61" t="s">
        <v>454</v>
      </c>
      <c r="E7" s="57"/>
      <c r="F7" s="97"/>
      <c r="G7" s="91">
        <f t="shared" si="0"/>
        <v>45326</v>
      </c>
      <c r="H7" s="67"/>
      <c r="I7" s="57" t="s">
        <v>455</v>
      </c>
      <c r="J7" s="57" t="s">
        <v>456</v>
      </c>
      <c r="K7" s="260"/>
      <c r="L7" s="2"/>
      <c r="M7" s="42" t="s">
        <v>11</v>
      </c>
      <c r="N7" s="42"/>
    </row>
    <row r="8" spans="1:14">
      <c r="A8" s="42">
        <v>1</v>
      </c>
      <c r="B8" s="42">
        <v>2024</v>
      </c>
      <c r="C8" s="57">
        <v>1</v>
      </c>
      <c r="D8" s="61" t="s">
        <v>457</v>
      </c>
      <c r="E8" s="58" t="s">
        <v>462</v>
      </c>
      <c r="F8" s="98"/>
      <c r="G8" s="91">
        <f t="shared" si="0"/>
        <v>45333</v>
      </c>
      <c r="H8" s="67"/>
      <c r="I8" s="59" t="s">
        <v>458</v>
      </c>
      <c r="J8" s="57" t="s">
        <v>459</v>
      </c>
      <c r="K8" s="258"/>
      <c r="L8" s="2"/>
      <c r="M8" s="42" t="s">
        <v>11</v>
      </c>
      <c r="N8" s="42" t="s">
        <v>460</v>
      </c>
    </row>
    <row r="9" spans="1:14">
      <c r="A9" s="42">
        <v>1</v>
      </c>
      <c r="B9" s="42">
        <v>2024</v>
      </c>
      <c r="C9" s="57">
        <v>2</v>
      </c>
      <c r="D9" s="61" t="s">
        <v>461</v>
      </c>
      <c r="E9" s="57" t="s">
        <v>465</v>
      </c>
      <c r="F9" s="97"/>
      <c r="G9" s="91">
        <f t="shared" si="0"/>
        <v>45340</v>
      </c>
      <c r="H9" s="67">
        <f t="shared" ref="H9:J14" si="1">C8</f>
        <v>1</v>
      </c>
      <c r="I9" s="58" t="str">
        <f t="shared" si="1"/>
        <v>Criação</v>
      </c>
      <c r="J9" s="58" t="str">
        <f t="shared" si="1"/>
        <v>Gn 1-2</v>
      </c>
      <c r="K9" s="257" t="s">
        <v>457</v>
      </c>
      <c r="L9" s="41" t="s">
        <v>463</v>
      </c>
      <c r="M9" s="42" t="s">
        <v>11</v>
      </c>
      <c r="N9" s="42"/>
    </row>
    <row r="10" spans="1:14">
      <c r="A10" s="42">
        <v>1</v>
      </c>
      <c r="B10" s="42">
        <v>2024</v>
      </c>
      <c r="C10" s="57">
        <v>3</v>
      </c>
      <c r="D10" s="61" t="s">
        <v>464</v>
      </c>
      <c r="E10" s="58" t="s">
        <v>468</v>
      </c>
      <c r="F10" s="98"/>
      <c r="G10" s="91">
        <f t="shared" si="0"/>
        <v>45347</v>
      </c>
      <c r="H10" s="67">
        <f t="shared" si="1"/>
        <v>2</v>
      </c>
      <c r="I10" s="58" t="str">
        <f>D9</f>
        <v>Queda</v>
      </c>
      <c r="J10" s="58" t="str">
        <f t="shared" si="1"/>
        <v>Gn 3-4</v>
      </c>
      <c r="K10" s="260"/>
      <c r="L10" s="42" t="s">
        <v>466</v>
      </c>
      <c r="M10" s="42" t="s">
        <v>11</v>
      </c>
      <c r="N10" s="42"/>
    </row>
    <row r="11" spans="1:14">
      <c r="A11" s="42">
        <v>1</v>
      </c>
      <c r="B11" s="42">
        <v>2024</v>
      </c>
      <c r="C11" s="57">
        <v>4</v>
      </c>
      <c r="D11" s="61" t="s">
        <v>467</v>
      </c>
      <c r="E11" s="58" t="s">
        <v>471</v>
      </c>
      <c r="F11" s="98"/>
      <c r="G11" s="91">
        <f t="shared" si="0"/>
        <v>45354</v>
      </c>
      <c r="H11" s="67">
        <f t="shared" si="1"/>
        <v>3</v>
      </c>
      <c r="I11" s="58" t="str">
        <f t="shared" si="1"/>
        <v xml:space="preserve">Dilúvio </v>
      </c>
      <c r="J11" s="58" t="str">
        <f t="shared" si="1"/>
        <v>Gn 6-9</v>
      </c>
      <c r="K11" s="260"/>
      <c r="L11" s="41" t="s">
        <v>469</v>
      </c>
      <c r="M11" s="42" t="s">
        <v>11</v>
      </c>
      <c r="N11" s="42"/>
    </row>
    <row r="12" spans="1:14">
      <c r="A12" s="42">
        <v>1</v>
      </c>
      <c r="B12" s="42">
        <v>2024</v>
      </c>
      <c r="C12" s="57">
        <v>5</v>
      </c>
      <c r="D12" s="61" t="s">
        <v>470</v>
      </c>
      <c r="E12" s="58" t="s">
        <v>474</v>
      </c>
      <c r="F12" s="98"/>
      <c r="G12" s="91">
        <f t="shared" si="0"/>
        <v>45361</v>
      </c>
      <c r="H12" s="67">
        <f t="shared" si="1"/>
        <v>4</v>
      </c>
      <c r="I12" s="58" t="str">
        <f t="shared" si="1"/>
        <v>Torre de Babel</v>
      </c>
      <c r="J12" s="58" t="str">
        <f t="shared" si="1"/>
        <v>Gn 11</v>
      </c>
      <c r="K12" s="258"/>
      <c r="L12" s="41" t="s">
        <v>472</v>
      </c>
      <c r="M12" s="42" t="s">
        <v>11</v>
      </c>
      <c r="N12" s="42"/>
    </row>
    <row r="13" spans="1:14">
      <c r="A13" s="42">
        <v>1</v>
      </c>
      <c r="B13" s="42">
        <v>2024</v>
      </c>
      <c r="C13" s="57">
        <v>6</v>
      </c>
      <c r="D13" s="61" t="s">
        <v>473</v>
      </c>
      <c r="E13" s="58" t="s">
        <v>476</v>
      </c>
      <c r="F13" s="98"/>
      <c r="G13" s="91">
        <f t="shared" si="0"/>
        <v>45368</v>
      </c>
      <c r="H13" s="67">
        <f t="shared" si="1"/>
        <v>5</v>
      </c>
      <c r="I13" s="58" t="str">
        <f t="shared" si="1"/>
        <v>Aliança com Abraão</v>
      </c>
      <c r="J13" s="58" t="str">
        <f t="shared" si="1"/>
        <v>Gn 12;15;17</v>
      </c>
      <c r="K13" s="257" t="s">
        <v>22</v>
      </c>
      <c r="L13" s="41"/>
      <c r="M13" s="42" t="s">
        <v>11</v>
      </c>
      <c r="N13" s="42"/>
    </row>
    <row r="14" spans="1:14">
      <c r="A14" s="42">
        <v>1</v>
      </c>
      <c r="B14" s="42">
        <v>2024</v>
      </c>
      <c r="C14" s="57"/>
      <c r="D14" s="63" t="s">
        <v>475</v>
      </c>
      <c r="E14" s="59"/>
      <c r="F14" s="99"/>
      <c r="G14" s="91">
        <f t="shared" si="0"/>
        <v>45375</v>
      </c>
      <c r="H14" s="67">
        <f t="shared" si="1"/>
        <v>6</v>
      </c>
      <c r="I14" s="58" t="str">
        <f t="shared" si="1"/>
        <v>O nascimento de Isaque</v>
      </c>
      <c r="J14" s="58" t="str">
        <f t="shared" si="1"/>
        <v>Gn 21-22; Hb 11.17-19</v>
      </c>
      <c r="K14" s="260"/>
      <c r="L14" s="41"/>
      <c r="M14" s="42" t="s">
        <v>11</v>
      </c>
      <c r="N14" s="42"/>
    </row>
    <row r="15" spans="1:14">
      <c r="A15" s="42">
        <v>1</v>
      </c>
      <c r="B15" s="42">
        <v>2024</v>
      </c>
      <c r="C15" s="57">
        <v>7</v>
      </c>
      <c r="D15" s="61" t="s">
        <v>477</v>
      </c>
      <c r="E15" s="58" t="s">
        <v>479</v>
      </c>
      <c r="F15" s="98"/>
      <c r="G15" s="92">
        <f t="shared" si="0"/>
        <v>45382</v>
      </c>
      <c r="H15" s="67">
        <f t="shared" ref="H15:H34" si="2">C14</f>
        <v>0</v>
      </c>
      <c r="I15" s="60" t="str">
        <f t="shared" ref="I15:I34" si="3">D14</f>
        <v>Domingo de Páscoa</v>
      </c>
      <c r="J15" s="60"/>
      <c r="K15" s="260"/>
      <c r="L15" s="3"/>
      <c r="M15" s="42" t="s">
        <v>11</v>
      </c>
      <c r="N15" s="42"/>
    </row>
    <row r="16" spans="1:14">
      <c r="A16" s="42">
        <v>1</v>
      </c>
      <c r="B16" s="42">
        <v>2024</v>
      </c>
      <c r="C16" s="57">
        <v>8</v>
      </c>
      <c r="D16" s="61" t="s">
        <v>478</v>
      </c>
      <c r="E16" s="58" t="s">
        <v>481</v>
      </c>
      <c r="F16" s="98"/>
      <c r="G16" s="91">
        <f t="shared" si="0"/>
        <v>45389</v>
      </c>
      <c r="H16" s="67">
        <f t="shared" si="2"/>
        <v>7</v>
      </c>
      <c r="I16" s="58" t="str">
        <f t="shared" si="3"/>
        <v>O casamento de Isaque</v>
      </c>
      <c r="J16" s="58" t="str">
        <f t="shared" ref="J16:J37" si="4">E15</f>
        <v>Gn 24</v>
      </c>
      <c r="K16" s="260"/>
      <c r="L16" s="41"/>
      <c r="M16" s="42" t="s">
        <v>11</v>
      </c>
      <c r="N16" s="42"/>
    </row>
    <row r="17" spans="1:14">
      <c r="A17" s="42">
        <v>1</v>
      </c>
      <c r="B17" s="42">
        <v>2024</v>
      </c>
      <c r="C17" s="57">
        <v>9</v>
      </c>
      <c r="D17" s="61" t="s">
        <v>480</v>
      </c>
      <c r="E17" s="58" t="s">
        <v>484</v>
      </c>
      <c r="F17" s="98"/>
      <c r="G17" s="91">
        <f t="shared" si="0"/>
        <v>45396</v>
      </c>
      <c r="H17" s="67">
        <f t="shared" si="2"/>
        <v>8</v>
      </c>
      <c r="I17" s="58" t="str">
        <f t="shared" si="3"/>
        <v>Esaú e Jacó (nascimento e conflito)</v>
      </c>
      <c r="J17" s="58" t="str">
        <f t="shared" si="4"/>
        <v>Gn 25.19 - 28</v>
      </c>
      <c r="K17" s="258"/>
      <c r="L17" s="41" t="s">
        <v>482</v>
      </c>
      <c r="M17" s="42" t="s">
        <v>11</v>
      </c>
      <c r="N17" s="42"/>
    </row>
    <row r="18" spans="1:14">
      <c r="A18" s="42">
        <v>1</v>
      </c>
      <c r="B18" s="42">
        <v>2024</v>
      </c>
      <c r="C18" s="57">
        <v>10</v>
      </c>
      <c r="D18" s="61" t="s">
        <v>483</v>
      </c>
      <c r="E18" s="58" t="s">
        <v>486</v>
      </c>
      <c r="F18" s="98"/>
      <c r="G18" s="91">
        <f t="shared" si="0"/>
        <v>45403</v>
      </c>
      <c r="H18" s="67">
        <f t="shared" si="2"/>
        <v>9</v>
      </c>
      <c r="I18" s="58" t="str">
        <f t="shared" si="3"/>
        <v>Os casamentos de Jacó</v>
      </c>
      <c r="J18" s="58" t="str">
        <f t="shared" si="4"/>
        <v>Gn 29-31</v>
      </c>
      <c r="K18" s="257" t="s">
        <v>32</v>
      </c>
      <c r="L18" s="41"/>
      <c r="M18" s="42" t="s">
        <v>11</v>
      </c>
      <c r="N18" s="42"/>
    </row>
    <row r="19" spans="1:14">
      <c r="A19" s="42">
        <v>1</v>
      </c>
      <c r="B19" s="42">
        <v>2024</v>
      </c>
      <c r="C19" s="57">
        <v>11</v>
      </c>
      <c r="D19" s="61" t="s">
        <v>485</v>
      </c>
      <c r="E19" s="58" t="s">
        <v>489</v>
      </c>
      <c r="F19" s="98"/>
      <c r="G19" s="91">
        <f t="shared" si="0"/>
        <v>45410</v>
      </c>
      <c r="H19" s="67">
        <f t="shared" si="2"/>
        <v>10</v>
      </c>
      <c r="I19" s="58" t="str">
        <f t="shared" si="3"/>
        <v>Esaú e Jacó (reconciliação)</v>
      </c>
      <c r="J19" s="58" t="str">
        <f t="shared" si="4"/>
        <v>Gn 32, 33 e 35</v>
      </c>
      <c r="K19" s="260"/>
      <c r="L19" s="41" t="s">
        <v>487</v>
      </c>
      <c r="M19" s="42" t="s">
        <v>11</v>
      </c>
      <c r="N19" s="42"/>
    </row>
    <row r="20" spans="1:14">
      <c r="A20" s="42">
        <v>1</v>
      </c>
      <c r="B20" s="42">
        <v>2024</v>
      </c>
      <c r="C20" s="57">
        <v>12</v>
      </c>
      <c r="D20" s="61" t="s">
        <v>488</v>
      </c>
      <c r="E20" s="58" t="s">
        <v>492</v>
      </c>
      <c r="F20" s="98"/>
      <c r="G20" s="91">
        <f t="shared" si="0"/>
        <v>45417</v>
      </c>
      <c r="H20" s="67">
        <f t="shared" si="2"/>
        <v>11</v>
      </c>
      <c r="I20" s="58" t="str">
        <f t="shared" si="3"/>
        <v>José vai para  Egito</v>
      </c>
      <c r="J20" s="58" t="str">
        <f t="shared" si="4"/>
        <v>Gn 37, 39</v>
      </c>
      <c r="K20" s="260"/>
      <c r="L20" s="41" t="s">
        <v>490</v>
      </c>
      <c r="M20" s="42" t="s">
        <v>11</v>
      </c>
      <c r="N20" s="42"/>
    </row>
    <row r="21" spans="1:14">
      <c r="A21" s="42">
        <v>1</v>
      </c>
      <c r="B21" s="42">
        <v>2024</v>
      </c>
      <c r="C21" s="57">
        <v>13</v>
      </c>
      <c r="D21" s="61" t="s">
        <v>491</v>
      </c>
      <c r="E21" s="58" t="s">
        <v>495</v>
      </c>
      <c r="F21" s="98"/>
      <c r="G21" s="91">
        <f t="shared" si="0"/>
        <v>45424</v>
      </c>
      <c r="H21" s="67">
        <f t="shared" si="2"/>
        <v>12</v>
      </c>
      <c r="I21" s="58" t="str">
        <f t="shared" si="3"/>
        <v>José no Egito</v>
      </c>
      <c r="J21" s="58" t="str">
        <f t="shared" si="4"/>
        <v>Gn 40-41</v>
      </c>
      <c r="K21" s="258"/>
      <c r="L21" s="41" t="s">
        <v>493</v>
      </c>
      <c r="M21" s="42" t="s">
        <v>11</v>
      </c>
      <c r="N21" s="42"/>
    </row>
    <row r="22" spans="1:14">
      <c r="A22" s="42">
        <v>1</v>
      </c>
      <c r="B22" s="42">
        <v>2024</v>
      </c>
      <c r="C22" s="57">
        <v>14</v>
      </c>
      <c r="D22" s="61" t="s">
        <v>494</v>
      </c>
      <c r="E22" s="58" t="s">
        <v>497</v>
      </c>
      <c r="F22" s="98"/>
      <c r="G22" s="91">
        <f t="shared" si="0"/>
        <v>45431</v>
      </c>
      <c r="H22" s="67">
        <f t="shared" si="2"/>
        <v>13</v>
      </c>
      <c r="I22" s="58" t="str">
        <f t="shared" si="3"/>
        <v>Família de José vai ao Egito</v>
      </c>
      <c r="J22" s="58" t="str">
        <f t="shared" si="4"/>
        <v>Gn 42-50</v>
      </c>
      <c r="K22" s="257" t="s">
        <v>42</v>
      </c>
      <c r="L22" s="41"/>
      <c r="M22" s="42" t="s">
        <v>11</v>
      </c>
      <c r="N22" s="42"/>
    </row>
    <row r="23" spans="1:14">
      <c r="A23" s="42">
        <v>1</v>
      </c>
      <c r="B23" s="42">
        <v>2024</v>
      </c>
      <c r="C23" s="57">
        <v>15</v>
      </c>
      <c r="D23" s="61" t="s">
        <v>498</v>
      </c>
      <c r="E23" s="58" t="s">
        <v>499</v>
      </c>
      <c r="F23" s="98"/>
      <c r="G23" s="91">
        <f t="shared" si="0"/>
        <v>45438</v>
      </c>
      <c r="H23" s="67">
        <f t="shared" si="2"/>
        <v>14</v>
      </c>
      <c r="I23" s="58" t="str">
        <f t="shared" si="3"/>
        <v>Nascimento e chamado de Moisés</v>
      </c>
      <c r="J23" s="58" t="str">
        <f t="shared" si="4"/>
        <v>Ex 1 - 4</v>
      </c>
      <c r="K23" s="260"/>
      <c r="L23" s="41"/>
      <c r="M23" s="42" t="s">
        <v>11</v>
      </c>
      <c r="N23" s="42"/>
    </row>
    <row r="24" spans="1:14">
      <c r="A24" s="42">
        <v>1</v>
      </c>
      <c r="B24" s="42">
        <v>2024</v>
      </c>
      <c r="C24" s="57">
        <v>16</v>
      </c>
      <c r="D24" s="61" t="s">
        <v>500</v>
      </c>
      <c r="E24" s="58" t="s">
        <v>504</v>
      </c>
      <c r="F24" s="98"/>
      <c r="G24" s="91">
        <f t="shared" si="0"/>
        <v>45445</v>
      </c>
      <c r="H24" s="67">
        <f t="shared" si="2"/>
        <v>15</v>
      </c>
      <c r="I24" s="58" t="str">
        <f t="shared" si="3"/>
        <v>Saída do Egito (libertação)</v>
      </c>
      <c r="J24" s="58" t="str">
        <f t="shared" si="4"/>
        <v>Ex 5-12.36</v>
      </c>
      <c r="K24" s="260"/>
      <c r="L24" s="41"/>
      <c r="M24" s="42" t="s">
        <v>11</v>
      </c>
      <c r="N24" s="42"/>
    </row>
    <row r="25" spans="1:14">
      <c r="A25" s="42">
        <v>1</v>
      </c>
      <c r="B25" s="42">
        <v>2024</v>
      </c>
      <c r="C25" s="57">
        <v>17</v>
      </c>
      <c r="D25" s="61" t="s">
        <v>503</v>
      </c>
      <c r="E25" s="58" t="s">
        <v>508</v>
      </c>
      <c r="F25" s="98"/>
      <c r="G25" s="91">
        <f t="shared" si="0"/>
        <v>45452</v>
      </c>
      <c r="H25" s="67">
        <f t="shared" si="2"/>
        <v>16</v>
      </c>
      <c r="I25" s="58" t="str">
        <f t="shared" si="3"/>
        <v>Travessia do Mar Vermelho (livres para adorar)</v>
      </c>
      <c r="J25" s="58" t="str">
        <f t="shared" si="4"/>
        <v>Ex 14-15</v>
      </c>
      <c r="K25" s="258"/>
      <c r="L25" s="41" t="s">
        <v>502</v>
      </c>
      <c r="M25" s="42" t="s">
        <v>11</v>
      </c>
      <c r="N25" s="42"/>
    </row>
    <row r="26" spans="1:14">
      <c r="A26" s="42">
        <v>1</v>
      </c>
      <c r="B26" s="42">
        <v>2024</v>
      </c>
      <c r="C26" s="80">
        <v>18</v>
      </c>
      <c r="D26" s="62" t="s">
        <v>507</v>
      </c>
      <c r="E26" s="58" t="s">
        <v>510</v>
      </c>
      <c r="F26" s="98"/>
      <c r="G26" s="91">
        <f t="shared" si="0"/>
        <v>45459</v>
      </c>
      <c r="H26" s="67">
        <f t="shared" si="2"/>
        <v>17</v>
      </c>
      <c r="I26" s="58" t="str">
        <f t="shared" si="3"/>
        <v>Sustento no deserto - o Maná (providência)</v>
      </c>
      <c r="J26" s="58" t="str">
        <f t="shared" si="4"/>
        <v>Ex 15.22-17</v>
      </c>
      <c r="K26" s="257" t="s">
        <v>62</v>
      </c>
      <c r="L26" s="41" t="s">
        <v>505</v>
      </c>
      <c r="M26" s="42" t="s">
        <v>11</v>
      </c>
      <c r="N26" s="41" t="s">
        <v>506</v>
      </c>
    </row>
    <row r="27" spans="1:14">
      <c r="A27" s="42">
        <v>1</v>
      </c>
      <c r="B27" s="42">
        <v>2024</v>
      </c>
      <c r="C27" s="57">
        <v>19</v>
      </c>
      <c r="D27" s="62" t="s">
        <v>509</v>
      </c>
      <c r="E27" s="58" t="s">
        <v>686</v>
      </c>
      <c r="F27" s="98"/>
      <c r="G27" s="91">
        <f t="shared" si="0"/>
        <v>45466</v>
      </c>
      <c r="H27" s="67">
        <f t="shared" si="2"/>
        <v>18</v>
      </c>
      <c r="I27" s="58" t="str">
        <f t="shared" si="3"/>
        <v>A visita de Jetro a Moisés (governo)</v>
      </c>
      <c r="J27" s="58" t="str">
        <f t="shared" si="4"/>
        <v>Ex 18</v>
      </c>
      <c r="K27" s="260"/>
      <c r="L27" s="41"/>
      <c r="M27" s="42" t="s">
        <v>11</v>
      </c>
      <c r="N27" s="42"/>
    </row>
    <row r="28" spans="1:14">
      <c r="A28" s="42">
        <v>1</v>
      </c>
      <c r="B28" s="42">
        <v>2024</v>
      </c>
      <c r="C28" s="80">
        <v>20</v>
      </c>
      <c r="D28" s="62" t="s">
        <v>512</v>
      </c>
      <c r="E28" s="58" t="s">
        <v>686</v>
      </c>
      <c r="F28" s="98"/>
      <c r="G28" s="91">
        <f t="shared" si="0"/>
        <v>45473</v>
      </c>
      <c r="H28" s="67">
        <f t="shared" si="2"/>
        <v>19</v>
      </c>
      <c r="I28" s="58" t="str">
        <f t="shared" si="3"/>
        <v>Os 10 mandamentos (Lei) - parte 1</v>
      </c>
      <c r="J28" s="58" t="str">
        <f t="shared" si="4"/>
        <v>Ex 19-20 + Dt 6 a 26</v>
      </c>
      <c r="K28" s="260"/>
      <c r="L28" s="41" t="s">
        <v>511</v>
      </c>
      <c r="M28" s="42" t="s">
        <v>11</v>
      </c>
      <c r="N28" s="42"/>
    </row>
    <row r="29" spans="1:14">
      <c r="A29" s="42">
        <v>1</v>
      </c>
      <c r="B29" s="42">
        <v>2024</v>
      </c>
      <c r="C29" s="57">
        <v>21</v>
      </c>
      <c r="D29" s="62" t="s">
        <v>515</v>
      </c>
      <c r="E29" s="58" t="s">
        <v>79</v>
      </c>
      <c r="F29" s="98"/>
      <c r="G29" s="91">
        <f t="shared" si="0"/>
        <v>45480</v>
      </c>
      <c r="H29" s="67">
        <f t="shared" si="2"/>
        <v>20</v>
      </c>
      <c r="I29" s="58" t="str">
        <f t="shared" si="3"/>
        <v>Os 10 mandamentos (Lei) - parte 2</v>
      </c>
      <c r="J29" s="58" t="str">
        <f t="shared" si="4"/>
        <v>Ex 19-20 + Dt 6 a 26</v>
      </c>
      <c r="K29" s="260"/>
      <c r="L29" s="41" t="s">
        <v>514</v>
      </c>
      <c r="M29" s="42" t="s">
        <v>11</v>
      </c>
      <c r="N29" s="42"/>
    </row>
    <row r="30" spans="1:14">
      <c r="A30" s="42">
        <v>1</v>
      </c>
      <c r="B30" s="42">
        <v>2024</v>
      </c>
      <c r="C30" s="80">
        <v>22</v>
      </c>
      <c r="D30" s="62" t="s">
        <v>517</v>
      </c>
      <c r="E30" s="58" t="s">
        <v>519</v>
      </c>
      <c r="F30" s="98"/>
      <c r="G30" s="91">
        <f t="shared" si="0"/>
        <v>45487</v>
      </c>
      <c r="H30" s="67">
        <f t="shared" si="2"/>
        <v>21</v>
      </c>
      <c r="I30" s="58" t="str">
        <f t="shared" si="3"/>
        <v>O Bezerro de Ouro (idolatria)</v>
      </c>
      <c r="J30" s="58" t="str">
        <f t="shared" si="4"/>
        <v>Ex 32; 34 e Lv</v>
      </c>
      <c r="K30" s="260"/>
      <c r="L30" s="41" t="s">
        <v>516</v>
      </c>
      <c r="M30" s="42" t="s">
        <v>11</v>
      </c>
      <c r="N30" s="42"/>
    </row>
    <row r="31" spans="1:14">
      <c r="A31" s="42">
        <v>1</v>
      </c>
      <c r="B31" s="42">
        <v>2024</v>
      </c>
      <c r="C31" s="57">
        <v>23</v>
      </c>
      <c r="D31" s="62" t="s">
        <v>518</v>
      </c>
      <c r="E31" s="58" t="s">
        <v>519</v>
      </c>
      <c r="F31" s="98"/>
      <c r="G31" s="91">
        <f t="shared" si="0"/>
        <v>45494</v>
      </c>
      <c r="H31" s="67">
        <f t="shared" si="2"/>
        <v>22</v>
      </c>
      <c r="I31" s="58" t="str">
        <f t="shared" si="3"/>
        <v>O Tabernáculo (presença de Deus) - parte 1</v>
      </c>
      <c r="J31" s="58" t="str">
        <f t="shared" si="4"/>
        <v>Ex 35-40</v>
      </c>
      <c r="K31" s="258"/>
      <c r="L31" s="41"/>
      <c r="M31" s="42" t="s">
        <v>11</v>
      </c>
      <c r="N31" s="42"/>
    </row>
    <row r="32" spans="1:14">
      <c r="A32" s="42">
        <v>1</v>
      </c>
      <c r="B32" s="42">
        <v>2024</v>
      </c>
      <c r="C32" s="80">
        <v>24</v>
      </c>
      <c r="D32" s="62" t="s">
        <v>522</v>
      </c>
      <c r="E32" s="58" t="s">
        <v>524</v>
      </c>
      <c r="F32" s="98"/>
      <c r="G32" s="91">
        <f t="shared" si="0"/>
        <v>45501</v>
      </c>
      <c r="H32" s="67">
        <f t="shared" si="2"/>
        <v>23</v>
      </c>
      <c r="I32" s="58" t="str">
        <f t="shared" si="3"/>
        <v>O Tabernáculo (presença de Deus) - parte 2</v>
      </c>
      <c r="J32" s="58" t="str">
        <f t="shared" si="4"/>
        <v>Ex 35-40</v>
      </c>
      <c r="K32" s="257" t="s">
        <v>520</v>
      </c>
      <c r="L32" s="41" t="s">
        <v>521</v>
      </c>
      <c r="M32" s="42" t="s">
        <v>11</v>
      </c>
      <c r="N32" s="42"/>
    </row>
    <row r="33" spans="1:14">
      <c r="A33" s="42">
        <v>1</v>
      </c>
      <c r="B33" s="42">
        <v>2024</v>
      </c>
      <c r="C33" s="57">
        <v>25</v>
      </c>
      <c r="D33" s="62" t="s">
        <v>90</v>
      </c>
      <c r="E33" s="58" t="s">
        <v>527</v>
      </c>
      <c r="F33" s="98"/>
      <c r="G33" s="91">
        <f t="shared" si="0"/>
        <v>45508</v>
      </c>
      <c r="H33" s="67">
        <f t="shared" si="2"/>
        <v>24</v>
      </c>
      <c r="I33" s="58" t="str">
        <f t="shared" si="3"/>
        <v>Regras para o Sacrifício</v>
      </c>
      <c r="J33" s="58" t="str">
        <f t="shared" si="4"/>
        <v>Lv</v>
      </c>
      <c r="K33" s="260"/>
      <c r="L33" s="41" t="s">
        <v>523</v>
      </c>
      <c r="M33" s="42" t="s">
        <v>11</v>
      </c>
      <c r="N33" s="42"/>
    </row>
    <row r="34" spans="1:14">
      <c r="A34" s="42">
        <v>1</v>
      </c>
      <c r="B34" s="42">
        <v>2024</v>
      </c>
      <c r="C34" s="80">
        <v>26</v>
      </c>
      <c r="D34" s="62" t="s">
        <v>526</v>
      </c>
      <c r="E34" s="58" t="s">
        <v>94</v>
      </c>
      <c r="F34" s="98"/>
      <c r="G34" s="91">
        <f t="shared" si="0"/>
        <v>45515</v>
      </c>
      <c r="H34" s="67">
        <f t="shared" si="2"/>
        <v>25</v>
      </c>
      <c r="I34" s="58" t="str">
        <f t="shared" si="3"/>
        <v>Os espias e a rebelião do povo</v>
      </c>
      <c r="J34" s="58" t="str">
        <f t="shared" si="4"/>
        <v>Introdução ao livro de Números + Nm 13-14</v>
      </c>
      <c r="K34" s="258"/>
      <c r="L34" s="41" t="s">
        <v>525</v>
      </c>
      <c r="M34" s="42" t="s">
        <v>11</v>
      </c>
      <c r="N34" s="42"/>
    </row>
    <row r="35" spans="1:14">
      <c r="A35" s="42">
        <v>1</v>
      </c>
      <c r="B35" s="42">
        <v>2024</v>
      </c>
      <c r="C35" s="57">
        <v>27</v>
      </c>
      <c r="D35" s="62" t="s">
        <v>530</v>
      </c>
      <c r="E35" s="58" t="s">
        <v>98</v>
      </c>
      <c r="F35" s="98"/>
      <c r="G35" s="91">
        <f t="shared" si="0"/>
        <v>45522</v>
      </c>
      <c r="H35" s="67">
        <f>C34</f>
        <v>26</v>
      </c>
      <c r="I35" s="58" t="s">
        <v>687</v>
      </c>
      <c r="J35" s="58" t="str">
        <f t="shared" si="4"/>
        <v>Números 20–21; João 3: 14-15</v>
      </c>
      <c r="K35" s="257" t="s">
        <v>528</v>
      </c>
      <c r="L35" s="41"/>
      <c r="M35" s="42" t="s">
        <v>11</v>
      </c>
      <c r="N35" s="42" t="s">
        <v>529</v>
      </c>
    </row>
    <row r="36" spans="1:14">
      <c r="A36" s="42">
        <v>1</v>
      </c>
      <c r="B36" s="42">
        <v>2024</v>
      </c>
      <c r="C36" s="80">
        <v>28</v>
      </c>
      <c r="D36" s="62" t="s">
        <v>532</v>
      </c>
      <c r="E36" s="58" t="s">
        <v>102</v>
      </c>
      <c r="F36" s="98"/>
      <c r="G36" s="91">
        <f t="shared" si="0"/>
        <v>45529</v>
      </c>
      <c r="H36" s="67">
        <f>C35</f>
        <v>27</v>
      </c>
      <c r="I36" s="58" t="str">
        <f>D35</f>
        <v>A morte de Moisés</v>
      </c>
      <c r="J36" s="58" t="str">
        <f t="shared" si="4"/>
        <v>Dt 31–34</v>
      </c>
      <c r="K36" s="260"/>
      <c r="L36" s="41" t="s">
        <v>531</v>
      </c>
      <c r="M36" s="42" t="s">
        <v>11</v>
      </c>
      <c r="N36" s="42" t="s">
        <v>529</v>
      </c>
    </row>
    <row r="37" spans="1:14">
      <c r="A37" s="42">
        <v>1</v>
      </c>
      <c r="B37" s="42">
        <v>2024</v>
      </c>
      <c r="C37" s="57">
        <v>29</v>
      </c>
      <c r="D37" s="62" t="s">
        <v>534</v>
      </c>
      <c r="E37" s="58" t="s">
        <v>105</v>
      </c>
      <c r="F37" s="98"/>
      <c r="G37" s="91">
        <f t="shared" si="0"/>
        <v>45536</v>
      </c>
      <c r="H37" s="67">
        <f>C36</f>
        <v>28</v>
      </c>
      <c r="I37" s="58" t="str">
        <f>D36</f>
        <v>Travessia do Jordão</v>
      </c>
      <c r="J37" s="58" t="str">
        <f t="shared" si="4"/>
        <v>Josué 1–4</v>
      </c>
      <c r="K37" s="258"/>
      <c r="L37" s="41" t="s">
        <v>533</v>
      </c>
      <c r="M37" s="42" t="s">
        <v>11</v>
      </c>
      <c r="N37" s="42"/>
    </row>
    <row r="38" spans="1:14">
      <c r="A38" s="42">
        <v>1</v>
      </c>
      <c r="B38" s="42">
        <v>2024</v>
      </c>
      <c r="C38" s="42"/>
      <c r="D38" s="65" t="s">
        <v>688</v>
      </c>
      <c r="E38" s="55"/>
      <c r="F38" s="100"/>
      <c r="G38" s="93">
        <f t="shared" si="0"/>
        <v>45543</v>
      </c>
      <c r="H38" s="68"/>
      <c r="I38" s="56" t="s">
        <v>688</v>
      </c>
      <c r="J38" s="41"/>
      <c r="K38" s="257" t="s">
        <v>535</v>
      </c>
      <c r="L38" s="41" t="s">
        <v>536</v>
      </c>
      <c r="M38" s="42" t="s">
        <v>11</v>
      </c>
      <c r="N38" s="41" t="s">
        <v>537</v>
      </c>
    </row>
    <row r="39" spans="1:14">
      <c r="A39" s="42">
        <v>1</v>
      </c>
      <c r="B39" s="42">
        <v>2024</v>
      </c>
      <c r="C39" s="57">
        <v>30</v>
      </c>
      <c r="D39" s="62" t="s">
        <v>538</v>
      </c>
      <c r="E39" s="58" t="s">
        <v>541</v>
      </c>
      <c r="F39" s="98"/>
      <c r="G39" s="91">
        <f t="shared" si="0"/>
        <v>45550</v>
      </c>
      <c r="H39" s="67">
        <f>C37</f>
        <v>29</v>
      </c>
      <c r="I39" s="58" t="str">
        <f>D37</f>
        <v>A batalha de Jericó</v>
      </c>
      <c r="J39" s="58" t="str">
        <f>E37</f>
        <v>Josué 2; 6; Josué 10–11; 24</v>
      </c>
      <c r="K39" s="258"/>
      <c r="L39" s="41"/>
      <c r="M39" s="42" t="s">
        <v>11</v>
      </c>
      <c r="N39" s="41" t="s">
        <v>539</v>
      </c>
    </row>
    <row r="40" spans="1:14">
      <c r="A40" s="42">
        <v>1</v>
      </c>
      <c r="B40" s="42">
        <v>2024</v>
      </c>
      <c r="C40" s="57">
        <v>31</v>
      </c>
      <c r="D40" s="85" t="s">
        <v>540</v>
      </c>
      <c r="E40" s="81" t="s">
        <v>115</v>
      </c>
      <c r="F40" s="101"/>
      <c r="G40" s="94">
        <f t="shared" si="0"/>
        <v>45557</v>
      </c>
      <c r="H40" s="83">
        <f t="shared" ref="H40:J45" si="5">C39</f>
        <v>30</v>
      </c>
      <c r="I40" s="81" t="str">
        <f t="shared" si="5"/>
        <v>Ciclos de Rebelião - Débora e Baraque</v>
      </c>
      <c r="J40" s="81" t="str">
        <f t="shared" si="5"/>
        <v>Juízes 1-5</v>
      </c>
      <c r="K40" s="257" t="s">
        <v>542</v>
      </c>
      <c r="L40" s="41" t="s">
        <v>543</v>
      </c>
      <c r="M40" s="42" t="s">
        <v>11</v>
      </c>
      <c r="N40" s="41" t="s">
        <v>537</v>
      </c>
    </row>
    <row r="41" spans="1:14">
      <c r="A41" s="42">
        <v>1</v>
      </c>
      <c r="B41" s="42">
        <v>2024</v>
      </c>
      <c r="C41" s="57">
        <v>32</v>
      </c>
      <c r="D41" s="85" t="s">
        <v>544</v>
      </c>
      <c r="E41" s="81" t="s">
        <v>118</v>
      </c>
      <c r="F41" s="101"/>
      <c r="G41" s="94">
        <f t="shared" si="0"/>
        <v>45564</v>
      </c>
      <c r="H41" s="83">
        <f t="shared" si="5"/>
        <v>31</v>
      </c>
      <c r="I41" s="81" t="str">
        <f t="shared" si="5"/>
        <v>Ciclos de Rebelião - Gideão</v>
      </c>
      <c r="J41" s="81" t="str">
        <f t="shared" si="5"/>
        <v>Juízes 6–8</v>
      </c>
      <c r="K41" s="260"/>
      <c r="L41" s="41" t="s">
        <v>545</v>
      </c>
      <c r="M41" s="42" t="s">
        <v>11</v>
      </c>
      <c r="N41" s="41" t="s">
        <v>537</v>
      </c>
    </row>
    <row r="42" spans="1:14">
      <c r="A42" s="42">
        <v>1</v>
      </c>
      <c r="B42" s="42">
        <v>2024</v>
      </c>
      <c r="C42" s="57">
        <v>33</v>
      </c>
      <c r="D42" s="85" t="s">
        <v>546</v>
      </c>
      <c r="E42" s="81" t="s">
        <v>121</v>
      </c>
      <c r="F42" s="101"/>
      <c r="G42" s="94">
        <f t="shared" si="0"/>
        <v>45571</v>
      </c>
      <c r="H42" s="83">
        <f t="shared" si="5"/>
        <v>32</v>
      </c>
      <c r="I42" s="81" t="str">
        <f t="shared" si="5"/>
        <v>Ciclos de Rebelião - Sansão</v>
      </c>
      <c r="J42" s="81" t="str">
        <f t="shared" si="5"/>
        <v>Juízes 13–16</v>
      </c>
      <c r="K42" s="260"/>
      <c r="L42" s="41" t="s">
        <v>547</v>
      </c>
      <c r="M42" s="42" t="s">
        <v>11</v>
      </c>
      <c r="N42" s="41" t="s">
        <v>431</v>
      </c>
    </row>
    <row r="43" spans="1:14">
      <c r="A43" s="42">
        <v>1</v>
      </c>
      <c r="B43" s="42">
        <v>2024</v>
      </c>
      <c r="C43" s="57">
        <v>34</v>
      </c>
      <c r="D43" s="85" t="s">
        <v>548</v>
      </c>
      <c r="E43" s="81" t="s">
        <v>150</v>
      </c>
      <c r="F43" s="101"/>
      <c r="G43" s="94">
        <f t="shared" si="0"/>
        <v>45578</v>
      </c>
      <c r="H43" s="83">
        <f t="shared" si="5"/>
        <v>33</v>
      </c>
      <c r="I43" s="81" t="str">
        <f t="shared" si="5"/>
        <v>Rute e Boaz</v>
      </c>
      <c r="J43" s="81" t="str">
        <f t="shared" si="5"/>
        <v>Rute 1 a 4</v>
      </c>
      <c r="K43" s="258"/>
      <c r="L43" s="41" t="s">
        <v>549</v>
      </c>
      <c r="M43" s="42" t="s">
        <v>11</v>
      </c>
      <c r="N43" s="42"/>
    </row>
    <row r="44" spans="1:14">
      <c r="A44" s="42">
        <v>1</v>
      </c>
      <c r="B44" s="42">
        <v>2024</v>
      </c>
      <c r="C44" s="42">
        <v>35</v>
      </c>
      <c r="D44" s="88" t="s">
        <v>152</v>
      </c>
      <c r="E44" s="81" t="s">
        <v>153</v>
      </c>
      <c r="F44" s="101"/>
      <c r="G44" s="94">
        <f t="shared" si="0"/>
        <v>45585</v>
      </c>
      <c r="H44" s="83">
        <f t="shared" si="5"/>
        <v>34</v>
      </c>
      <c r="I44" s="81" t="str">
        <f t="shared" si="5"/>
        <v>O chamado de Samuel como profeta</v>
      </c>
      <c r="J44" s="81" t="str">
        <f t="shared" si="5"/>
        <v>1 Samuel 1–3</v>
      </c>
      <c r="K44" s="257" t="s">
        <v>550</v>
      </c>
      <c r="L44" s="41"/>
      <c r="M44" s="42" t="s">
        <v>11</v>
      </c>
      <c r="N44" s="42"/>
    </row>
    <row r="45" spans="1:14">
      <c r="A45" s="42">
        <v>1</v>
      </c>
      <c r="B45" s="42">
        <v>2024</v>
      </c>
      <c r="C45" s="42">
        <v>36</v>
      </c>
      <c r="D45" s="88" t="s">
        <v>156</v>
      </c>
      <c r="E45" s="81" t="s">
        <v>157</v>
      </c>
      <c r="F45" s="101"/>
      <c r="G45" s="94">
        <f t="shared" si="0"/>
        <v>45592</v>
      </c>
      <c r="H45" s="83">
        <f t="shared" si="5"/>
        <v>35</v>
      </c>
      <c r="I45" s="81" t="str">
        <f t="shared" si="5"/>
        <v>Icabod – Foi-se a glória</v>
      </c>
      <c r="J45" s="81" t="str">
        <f t="shared" si="5"/>
        <v>1 Samuel 4–7</v>
      </c>
      <c r="K45" s="258"/>
      <c r="L45" s="41" t="s">
        <v>551</v>
      </c>
      <c r="M45" s="42" t="s">
        <v>11</v>
      </c>
      <c r="N45" s="42"/>
    </row>
    <row r="46" spans="1:14" ht="15" customHeight="1">
      <c r="A46" s="42">
        <v>1</v>
      </c>
      <c r="B46" s="42">
        <v>2024</v>
      </c>
      <c r="C46" s="42"/>
      <c r="D46" s="87" t="s">
        <v>691</v>
      </c>
      <c r="E46" s="56" t="s">
        <v>138</v>
      </c>
      <c r="F46" s="102"/>
      <c r="G46" s="93">
        <f t="shared" si="0"/>
        <v>45599</v>
      </c>
      <c r="H46" s="68">
        <f>C45</f>
        <v>36</v>
      </c>
      <c r="I46" s="56" t="s">
        <v>692</v>
      </c>
      <c r="J46" s="56" t="s">
        <v>693</v>
      </c>
      <c r="K46" s="257" t="s">
        <v>553</v>
      </c>
      <c r="L46" s="41"/>
      <c r="M46" s="42" t="s">
        <v>11</v>
      </c>
      <c r="N46" s="42"/>
    </row>
    <row r="47" spans="1:14">
      <c r="A47" s="42">
        <v>1</v>
      </c>
      <c r="B47" s="42">
        <v>2024</v>
      </c>
      <c r="C47" s="84">
        <v>37</v>
      </c>
      <c r="D47" s="88" t="s">
        <v>552</v>
      </c>
      <c r="E47" s="81" t="s">
        <v>160</v>
      </c>
      <c r="F47" s="101" t="s">
        <v>694</v>
      </c>
      <c r="G47" s="94">
        <f t="shared" si="0"/>
        <v>45606</v>
      </c>
      <c r="H47" s="84">
        <v>37</v>
      </c>
      <c r="I47" s="85" t="s">
        <v>553</v>
      </c>
      <c r="J47" s="81" t="s">
        <v>695</v>
      </c>
      <c r="K47" s="260"/>
      <c r="L47" s="41"/>
      <c r="M47" s="42" t="s">
        <v>11</v>
      </c>
      <c r="N47" s="42"/>
    </row>
    <row r="48" spans="1:14">
      <c r="A48" s="42">
        <v>1</v>
      </c>
      <c r="B48" s="42">
        <v>2024</v>
      </c>
      <c r="C48" s="84">
        <v>38</v>
      </c>
      <c r="D48" s="88" t="s">
        <v>552</v>
      </c>
      <c r="E48" s="81" t="s">
        <v>696</v>
      </c>
      <c r="F48" s="101" t="s">
        <v>697</v>
      </c>
      <c r="G48" s="94">
        <f t="shared" si="0"/>
        <v>45613</v>
      </c>
      <c r="H48" s="84">
        <f>C48</f>
        <v>38</v>
      </c>
      <c r="I48" s="85" t="str">
        <f>D48</f>
        <v>Queda de Saul</v>
      </c>
      <c r="J48" s="81" t="str">
        <f>E48</f>
        <v>1 Sm 16 a 24</v>
      </c>
      <c r="K48" s="260"/>
      <c r="L48" s="41"/>
      <c r="M48" s="42" t="s">
        <v>11</v>
      </c>
      <c r="N48" s="42"/>
    </row>
    <row r="49" spans="1:14">
      <c r="A49" s="42">
        <v>1</v>
      </c>
      <c r="B49" s="42">
        <v>2024</v>
      </c>
      <c r="C49" s="84">
        <v>39</v>
      </c>
      <c r="D49" s="88" t="s">
        <v>698</v>
      </c>
      <c r="E49" s="81" t="s">
        <v>699</v>
      </c>
      <c r="F49" s="101" t="s">
        <v>700</v>
      </c>
      <c r="G49" s="94">
        <f t="shared" si="0"/>
        <v>45620</v>
      </c>
      <c r="H49" s="83">
        <f t="shared" ref="H49:H52" si="6">C49</f>
        <v>39</v>
      </c>
      <c r="I49" s="81" t="str">
        <f t="shared" ref="I49" si="7">D49</f>
        <v>Fim do reinado de Saul</v>
      </c>
      <c r="J49" s="81" t="str">
        <f t="shared" ref="J49" si="8">E49</f>
        <v>1 Sm 25 a 31</v>
      </c>
      <c r="K49" s="260"/>
      <c r="L49" s="41"/>
      <c r="M49" s="42" t="s">
        <v>11</v>
      </c>
      <c r="N49" s="42"/>
    </row>
    <row r="50" spans="1:14" ht="14.45" customHeight="1">
      <c r="A50" s="42">
        <v>1</v>
      </c>
      <c r="B50" s="42">
        <v>2024</v>
      </c>
      <c r="C50" s="84">
        <v>40</v>
      </c>
      <c r="D50" s="88" t="s">
        <v>554</v>
      </c>
      <c r="E50" s="81" t="s">
        <v>701</v>
      </c>
      <c r="F50" s="101" t="s">
        <v>702</v>
      </c>
      <c r="G50" s="94">
        <f t="shared" si="0"/>
        <v>45627</v>
      </c>
      <c r="H50" s="83">
        <f t="shared" si="6"/>
        <v>40</v>
      </c>
      <c r="I50" s="108" t="s">
        <v>574</v>
      </c>
      <c r="J50" s="109"/>
      <c r="K50" s="261" t="s">
        <v>557</v>
      </c>
      <c r="L50" s="41"/>
      <c r="M50" s="42" t="s">
        <v>11</v>
      </c>
      <c r="N50" s="42"/>
    </row>
    <row r="51" spans="1:14">
      <c r="A51" s="42">
        <v>1</v>
      </c>
      <c r="B51" s="42">
        <v>2024</v>
      </c>
      <c r="C51" s="84">
        <v>41</v>
      </c>
      <c r="D51" s="88" t="s">
        <v>555</v>
      </c>
      <c r="E51" s="81" t="s">
        <v>703</v>
      </c>
      <c r="F51" s="101" t="s">
        <v>704</v>
      </c>
      <c r="G51" s="94">
        <f t="shared" si="0"/>
        <v>45634</v>
      </c>
      <c r="H51" s="83">
        <f t="shared" si="6"/>
        <v>41</v>
      </c>
      <c r="I51" s="81" t="str">
        <f>D50</f>
        <v>O reinado de Davi - parte 1</v>
      </c>
      <c r="J51" s="81" t="str">
        <f>E50</f>
        <v>2 Sm 1 a 10</v>
      </c>
      <c r="K51" s="261"/>
      <c r="L51" s="41"/>
      <c r="M51" s="42" t="s">
        <v>11</v>
      </c>
      <c r="N51" s="42"/>
    </row>
    <row r="52" spans="1:14">
      <c r="A52" s="42">
        <v>1</v>
      </c>
      <c r="B52" s="42">
        <v>2024</v>
      </c>
      <c r="C52" s="84">
        <v>42</v>
      </c>
      <c r="D52" s="88" t="s">
        <v>558</v>
      </c>
      <c r="E52" s="81" t="s">
        <v>561</v>
      </c>
      <c r="F52" s="110" t="s">
        <v>697</v>
      </c>
      <c r="G52" s="94">
        <f t="shared" si="0"/>
        <v>45641</v>
      </c>
      <c r="H52" s="83">
        <f t="shared" si="6"/>
        <v>42</v>
      </c>
      <c r="I52" s="81" t="str">
        <f>D51</f>
        <v>O reinado de Davi - parte 2</v>
      </c>
      <c r="J52" s="81" t="str">
        <f>E51</f>
        <v>2 Sm 11 a 24</v>
      </c>
      <c r="K52" s="261"/>
      <c r="L52" s="41"/>
      <c r="M52" s="42" t="s">
        <v>11</v>
      </c>
      <c r="N52" s="42"/>
    </row>
    <row r="53" spans="1:14">
      <c r="A53" s="42">
        <v>1</v>
      </c>
      <c r="B53" s="42">
        <v>2024</v>
      </c>
      <c r="C53" s="42"/>
      <c r="D53" s="89" t="s">
        <v>429</v>
      </c>
      <c r="E53" s="66"/>
      <c r="F53" s="105"/>
      <c r="G53" s="95">
        <f t="shared" si="0"/>
        <v>45648</v>
      </c>
      <c r="H53" s="44"/>
      <c r="I53" s="3" t="s">
        <v>429</v>
      </c>
      <c r="J53" s="41"/>
      <c r="K53" s="41"/>
      <c r="L53" s="41"/>
      <c r="M53" s="42" t="s">
        <v>11</v>
      </c>
      <c r="N53" s="42"/>
    </row>
    <row r="54" spans="1:14">
      <c r="A54" s="42">
        <v>1</v>
      </c>
      <c r="B54" s="42">
        <v>2024</v>
      </c>
      <c r="C54" s="42"/>
      <c r="D54" s="89" t="s">
        <v>430</v>
      </c>
      <c r="E54" s="66"/>
      <c r="F54" s="105"/>
      <c r="G54" s="95">
        <f t="shared" si="0"/>
        <v>45655</v>
      </c>
      <c r="H54" s="44"/>
      <c r="I54" s="3" t="s">
        <v>430</v>
      </c>
      <c r="J54" s="41"/>
      <c r="K54" s="41"/>
      <c r="L54" s="41"/>
      <c r="M54" s="42" t="s">
        <v>11</v>
      </c>
      <c r="N54" s="42"/>
    </row>
    <row r="55" spans="1:14" ht="14.45" customHeight="1">
      <c r="A55" s="42">
        <v>2</v>
      </c>
      <c r="B55" s="42">
        <v>2025</v>
      </c>
      <c r="C55" s="42">
        <v>43</v>
      </c>
      <c r="D55" s="66" t="s">
        <v>567</v>
      </c>
      <c r="E55" s="66" t="s">
        <v>567</v>
      </c>
      <c r="F55" s="106" t="s">
        <v>694</v>
      </c>
      <c r="G55" s="95">
        <f t="shared" si="0"/>
        <v>45662</v>
      </c>
      <c r="H55" s="44">
        <v>43</v>
      </c>
      <c r="I55" s="41" t="s">
        <v>705</v>
      </c>
      <c r="J55" s="41" t="s">
        <v>706</v>
      </c>
      <c r="K55" s="257" t="s">
        <v>571</v>
      </c>
      <c r="L55" s="41"/>
      <c r="M55" s="42" t="s">
        <v>11</v>
      </c>
      <c r="N55" s="42"/>
    </row>
    <row r="56" spans="1:14">
      <c r="A56" s="42">
        <v>2</v>
      </c>
      <c r="B56" s="42">
        <v>2025</v>
      </c>
      <c r="C56" s="42">
        <v>44</v>
      </c>
      <c r="D56" s="64" t="s">
        <v>567</v>
      </c>
      <c r="E56" s="64" t="s">
        <v>567</v>
      </c>
      <c r="F56" s="104" t="s">
        <v>697</v>
      </c>
      <c r="G56" s="95">
        <f t="shared" si="0"/>
        <v>45669</v>
      </c>
      <c r="H56" s="68">
        <v>44</v>
      </c>
      <c r="I56" s="41" t="str">
        <f t="shared" ref="I56:I61" si="9">D55</f>
        <v>Eclesiastes</v>
      </c>
      <c r="J56" s="41" t="s">
        <v>707</v>
      </c>
      <c r="K56" s="260"/>
      <c r="L56" s="41"/>
      <c r="M56" s="42" t="s">
        <v>11</v>
      </c>
      <c r="N56" s="42"/>
    </row>
    <row r="57" spans="1:14">
      <c r="A57" s="42">
        <v>2</v>
      </c>
      <c r="B57" s="42">
        <v>2025</v>
      </c>
      <c r="C57" s="42">
        <v>45</v>
      </c>
      <c r="D57" s="66" t="s">
        <v>572</v>
      </c>
      <c r="E57" s="66" t="s">
        <v>572</v>
      </c>
      <c r="F57" s="104" t="s">
        <v>700</v>
      </c>
      <c r="G57" s="95">
        <f t="shared" si="0"/>
        <v>45676</v>
      </c>
      <c r="H57" s="68">
        <v>44</v>
      </c>
      <c r="I57" s="41" t="str">
        <f t="shared" si="9"/>
        <v>Eclesiastes</v>
      </c>
      <c r="J57" s="41" t="s">
        <v>708</v>
      </c>
      <c r="K57" s="260"/>
      <c r="L57" s="41"/>
      <c r="M57" s="42" t="s">
        <v>11</v>
      </c>
      <c r="N57" s="42"/>
    </row>
    <row r="58" spans="1:14">
      <c r="A58" s="42">
        <v>2</v>
      </c>
      <c r="B58" s="42">
        <v>2025</v>
      </c>
      <c r="C58" s="42">
        <v>46</v>
      </c>
      <c r="D58" s="66" t="s">
        <v>188</v>
      </c>
      <c r="E58" s="66" t="s">
        <v>188</v>
      </c>
      <c r="F58" s="104" t="s">
        <v>704</v>
      </c>
      <c r="G58" s="95">
        <f t="shared" si="0"/>
        <v>45683</v>
      </c>
      <c r="H58" s="44">
        <f>C57</f>
        <v>45</v>
      </c>
      <c r="I58" s="41" t="str">
        <f>D57</f>
        <v>Cantares</v>
      </c>
      <c r="J58" s="41"/>
      <c r="K58" s="260"/>
      <c r="L58" s="41"/>
      <c r="M58" s="42" t="s">
        <v>11</v>
      </c>
      <c r="N58" s="42"/>
    </row>
    <row r="59" spans="1:14">
      <c r="A59" s="42">
        <v>2</v>
      </c>
      <c r="B59" s="42">
        <v>2025</v>
      </c>
      <c r="C59" s="42">
        <v>47</v>
      </c>
      <c r="D59" s="66" t="s">
        <v>188</v>
      </c>
      <c r="E59" s="66" t="s">
        <v>188</v>
      </c>
      <c r="F59" s="106" t="s">
        <v>694</v>
      </c>
      <c r="G59" s="95">
        <f t="shared" si="0"/>
        <v>45690</v>
      </c>
      <c r="H59" s="44">
        <f>C58</f>
        <v>46</v>
      </c>
      <c r="I59" s="41" t="str">
        <f>D58</f>
        <v>Provérbios</v>
      </c>
      <c r="J59" s="41"/>
      <c r="K59" s="260"/>
      <c r="L59" s="41"/>
      <c r="M59" s="42" t="s">
        <v>11</v>
      </c>
      <c r="N59" s="42"/>
    </row>
    <row r="60" spans="1:14">
      <c r="A60" s="42">
        <v>2</v>
      </c>
      <c r="B60" s="42">
        <v>2025</v>
      </c>
      <c r="C60" s="42">
        <v>48</v>
      </c>
      <c r="D60" s="66" t="s">
        <v>709</v>
      </c>
      <c r="E60" s="42" t="s">
        <v>565</v>
      </c>
      <c r="F60" s="104" t="s">
        <v>704</v>
      </c>
      <c r="G60" s="95">
        <f t="shared" si="0"/>
        <v>45697</v>
      </c>
      <c r="H60" s="44">
        <f>C52</f>
        <v>42</v>
      </c>
      <c r="I60" s="41" t="str">
        <f>D52</f>
        <v>O reinado de Salomão - parte 1</v>
      </c>
      <c r="J60" s="41"/>
      <c r="K60" s="255"/>
      <c r="L60" s="41"/>
      <c r="M60" s="42" t="s">
        <v>11</v>
      </c>
      <c r="N60" s="42"/>
    </row>
    <row r="61" spans="1:14">
      <c r="A61" s="42">
        <v>2</v>
      </c>
      <c r="B61" s="42">
        <v>2025</v>
      </c>
      <c r="C61" s="42">
        <v>49</v>
      </c>
      <c r="D61" s="64" t="s">
        <v>564</v>
      </c>
      <c r="E61" s="41" t="s">
        <v>568</v>
      </c>
      <c r="F61" s="104" t="s">
        <v>700</v>
      </c>
      <c r="G61" s="95">
        <f t="shared" si="0"/>
        <v>45704</v>
      </c>
      <c r="H61" s="44">
        <f>C60</f>
        <v>48</v>
      </c>
      <c r="I61" s="41" t="str">
        <f t="shared" si="9"/>
        <v>O reinado de Salomão - Construção do templo (adultos - retomar a parte 1)</v>
      </c>
      <c r="J61" s="41" t="str">
        <f>E60</f>
        <v>1 Rs 6-8</v>
      </c>
      <c r="K61" s="255"/>
      <c r="L61" s="41"/>
      <c r="M61" s="42" t="s">
        <v>11</v>
      </c>
      <c r="N61" s="42"/>
    </row>
    <row r="62" spans="1:14">
      <c r="A62" s="42">
        <v>2</v>
      </c>
      <c r="B62" s="42">
        <v>2025</v>
      </c>
      <c r="D62" s="279" t="s">
        <v>691</v>
      </c>
      <c r="E62" s="280"/>
      <c r="F62" s="280"/>
      <c r="G62" s="93">
        <f t="shared" si="0"/>
        <v>45711</v>
      </c>
      <c r="H62" s="281" t="s">
        <v>574</v>
      </c>
      <c r="I62" s="280"/>
      <c r="J62" s="282"/>
      <c r="K62" s="256"/>
      <c r="L62" s="41"/>
      <c r="M62" s="42" t="s">
        <v>11</v>
      </c>
      <c r="N62" s="42"/>
    </row>
    <row r="63" spans="1:14">
      <c r="A63" s="42">
        <v>2</v>
      </c>
      <c r="B63" s="42">
        <v>2025</v>
      </c>
      <c r="C63" s="42">
        <v>50</v>
      </c>
      <c r="D63" s="64" t="str">
        <f>+I64</f>
        <v>Reino dividido - parte 2 (de Jeroboão a Baasa)</v>
      </c>
      <c r="E63" s="41" t="s">
        <v>577</v>
      </c>
      <c r="F63" s="104" t="s">
        <v>697</v>
      </c>
      <c r="G63" s="112">
        <v>45725</v>
      </c>
      <c r="H63" s="44">
        <f>C61</f>
        <v>49</v>
      </c>
      <c r="I63" s="41" t="str">
        <f>D61</f>
        <v>Reino dividido - parte 1</v>
      </c>
      <c r="J63" s="41" t="str">
        <f>E61</f>
        <v>1 Rs 11-12</v>
      </c>
      <c r="K63" s="41"/>
      <c r="L63" s="41"/>
      <c r="M63" s="42" t="s">
        <v>11</v>
      </c>
      <c r="N63" s="42"/>
    </row>
    <row r="64" spans="1:14">
      <c r="A64" s="42">
        <v>2</v>
      </c>
      <c r="B64" s="42">
        <v>2025</v>
      </c>
      <c r="C64" s="42">
        <v>51</v>
      </c>
      <c r="D64" s="66" t="str">
        <f>I65</f>
        <v>Elias e a viúva</v>
      </c>
      <c r="E64" s="42" t="s">
        <v>197</v>
      </c>
      <c r="F64" s="111" t="s">
        <v>710</v>
      </c>
      <c r="G64" s="95">
        <f t="shared" si="0"/>
        <v>45732</v>
      </c>
      <c r="H64" s="44">
        <f>+C63</f>
        <v>50</v>
      </c>
      <c r="I64" s="41" t="s">
        <v>576</v>
      </c>
      <c r="J64" s="41" t="s">
        <v>577</v>
      </c>
      <c r="K64" s="41" t="s">
        <v>569</v>
      </c>
      <c r="L64" s="42" t="s">
        <v>578</v>
      </c>
      <c r="M64" s="42" t="s">
        <v>11</v>
      </c>
      <c r="N64" s="42"/>
    </row>
    <row r="65" spans="1:14">
      <c r="A65" s="42">
        <v>2</v>
      </c>
      <c r="B65" s="42">
        <v>2025</v>
      </c>
      <c r="C65" s="42">
        <v>52</v>
      </c>
      <c r="D65" s="66" t="str">
        <f t="shared" ref="D65:D101" si="10">I66</f>
        <v>Elias no Monte Carmelo</v>
      </c>
      <c r="E65" s="42" t="s">
        <v>200</v>
      </c>
      <c r="F65" s="106" t="s">
        <v>694</v>
      </c>
      <c r="G65" s="95">
        <f t="shared" si="0"/>
        <v>45739</v>
      </c>
      <c r="H65" s="44">
        <f>+C64</f>
        <v>51</v>
      </c>
      <c r="I65" s="42" t="s">
        <v>196</v>
      </c>
      <c r="J65" s="42" t="s">
        <v>197</v>
      </c>
      <c r="K65" s="257" t="s">
        <v>195</v>
      </c>
      <c r="L65" s="42" t="s">
        <v>578</v>
      </c>
      <c r="M65" s="42" t="s">
        <v>11</v>
      </c>
      <c r="N65" s="42"/>
    </row>
    <row r="66" spans="1:14">
      <c r="A66" s="42">
        <v>2</v>
      </c>
      <c r="B66" s="42">
        <v>2025</v>
      </c>
      <c r="C66" s="42">
        <v>53</v>
      </c>
      <c r="D66" s="66" t="str">
        <f t="shared" si="10"/>
        <v>Eliseu é sucessor de Elias</v>
      </c>
      <c r="E66" s="42" t="s">
        <v>203</v>
      </c>
      <c r="F66" s="104" t="s">
        <v>704</v>
      </c>
      <c r="G66" s="95">
        <f t="shared" si="0"/>
        <v>45746</v>
      </c>
      <c r="H66" s="44">
        <f t="shared" ref="H66:H129" si="11">+C65</f>
        <v>52</v>
      </c>
      <c r="I66" s="42" t="s">
        <v>199</v>
      </c>
      <c r="J66" s="42" t="s">
        <v>200</v>
      </c>
      <c r="K66" s="260"/>
      <c r="L66" s="42" t="s">
        <v>578</v>
      </c>
      <c r="M66" s="42" t="s">
        <v>11</v>
      </c>
      <c r="N66" s="42"/>
    </row>
    <row r="67" spans="1:14" s="117" customFormat="1">
      <c r="A67" s="50">
        <v>2</v>
      </c>
      <c r="B67" s="50">
        <v>2025</v>
      </c>
      <c r="C67" s="50">
        <v>54</v>
      </c>
      <c r="D67" s="113" t="str">
        <f t="shared" si="10"/>
        <v>O ministério de Eliseu</v>
      </c>
      <c r="E67" s="50" t="s">
        <v>579</v>
      </c>
      <c r="F67" s="114" t="s">
        <v>700</v>
      </c>
      <c r="G67" s="115">
        <f t="shared" si="0"/>
        <v>45753</v>
      </c>
      <c r="H67" s="116">
        <f t="shared" si="11"/>
        <v>53</v>
      </c>
      <c r="I67" s="50" t="s">
        <v>202</v>
      </c>
      <c r="J67" s="50" t="s">
        <v>203</v>
      </c>
      <c r="K67" s="260"/>
      <c r="L67" s="50" t="s">
        <v>578</v>
      </c>
      <c r="M67" s="50" t="s">
        <v>11</v>
      </c>
      <c r="N67" s="50"/>
    </row>
    <row r="68" spans="1:14">
      <c r="A68" s="42">
        <v>2</v>
      </c>
      <c r="B68" s="42">
        <v>2025</v>
      </c>
      <c r="C68" s="42">
        <v>55</v>
      </c>
      <c r="D68" s="66" t="str">
        <f t="shared" si="10"/>
        <v>Amós e Joel</v>
      </c>
      <c r="E68" s="42" t="s">
        <v>580</v>
      </c>
      <c r="F68" s="104" t="s">
        <v>697</v>
      </c>
      <c r="G68" s="95">
        <f t="shared" si="0"/>
        <v>45760</v>
      </c>
      <c r="H68" s="44">
        <f t="shared" si="11"/>
        <v>54</v>
      </c>
      <c r="I68" s="42" t="s">
        <v>205</v>
      </c>
      <c r="J68" s="42" t="s">
        <v>579</v>
      </c>
      <c r="K68" s="258"/>
      <c r="L68" s="42" t="s">
        <v>578</v>
      </c>
      <c r="M68" s="42" t="s">
        <v>11</v>
      </c>
      <c r="N68" s="42"/>
    </row>
    <row r="69" spans="1:14" ht="15" customHeight="1">
      <c r="A69" s="42">
        <v>2</v>
      </c>
      <c r="B69" s="42">
        <v>2025</v>
      </c>
      <c r="C69" s="42">
        <v>56</v>
      </c>
      <c r="D69" s="66" t="str">
        <f t="shared" si="10"/>
        <v>Jonas</v>
      </c>
      <c r="E69" s="42" t="s">
        <v>210</v>
      </c>
      <c r="F69" s="106" t="s">
        <v>694</v>
      </c>
      <c r="G69" s="95">
        <f t="shared" ref="G69:G132" si="12">+G68+7</f>
        <v>45767</v>
      </c>
      <c r="H69" s="44">
        <f t="shared" si="11"/>
        <v>55</v>
      </c>
      <c r="I69" s="42" t="s">
        <v>711</v>
      </c>
      <c r="J69" s="42" t="s">
        <v>580</v>
      </c>
      <c r="K69" s="261" t="s">
        <v>581</v>
      </c>
      <c r="L69" s="43" t="s">
        <v>249</v>
      </c>
      <c r="M69" s="42" t="s">
        <v>11</v>
      </c>
      <c r="N69" s="42"/>
    </row>
    <row r="70" spans="1:14">
      <c r="A70" s="42">
        <v>2</v>
      </c>
      <c r="B70" s="42">
        <v>2025</v>
      </c>
      <c r="C70" s="42">
        <v>57</v>
      </c>
      <c r="D70" s="65" t="str">
        <f t="shared" si="10"/>
        <v>Oseias</v>
      </c>
      <c r="E70" s="55" t="s">
        <v>582</v>
      </c>
      <c r="F70" s="100" t="s">
        <v>704</v>
      </c>
      <c r="G70" s="93">
        <f t="shared" si="12"/>
        <v>45774</v>
      </c>
      <c r="H70" s="68">
        <f t="shared" si="11"/>
        <v>56</v>
      </c>
      <c r="I70" s="55" t="s">
        <v>210</v>
      </c>
      <c r="J70" s="55" t="s">
        <v>210</v>
      </c>
      <c r="K70" s="261"/>
      <c r="L70" s="44" t="s">
        <v>578</v>
      </c>
      <c r="M70" s="42" t="s">
        <v>11</v>
      </c>
      <c r="N70" s="42"/>
    </row>
    <row r="71" spans="1:14">
      <c r="A71" s="42">
        <v>2</v>
      </c>
      <c r="B71" s="42">
        <v>2025</v>
      </c>
      <c r="C71" s="42">
        <v>58</v>
      </c>
      <c r="D71" s="66" t="str">
        <f>I72</f>
        <v>Miqueias</v>
      </c>
      <c r="E71" s="42" t="s">
        <v>583</v>
      </c>
      <c r="F71" s="104" t="s">
        <v>700</v>
      </c>
      <c r="G71" s="95">
        <f t="shared" si="12"/>
        <v>45781</v>
      </c>
      <c r="H71" s="44">
        <f t="shared" si="11"/>
        <v>57</v>
      </c>
      <c r="I71" s="42" t="s">
        <v>582</v>
      </c>
      <c r="J71" s="42" t="s">
        <v>582</v>
      </c>
      <c r="K71" s="261"/>
      <c r="L71" s="44"/>
      <c r="M71" s="42" t="s">
        <v>11</v>
      </c>
      <c r="N71" s="42"/>
    </row>
    <row r="72" spans="1:14">
      <c r="A72" s="42">
        <v>2</v>
      </c>
      <c r="B72" s="42">
        <v>2025</v>
      </c>
      <c r="C72" s="42">
        <v>59</v>
      </c>
      <c r="D72" s="66" t="str">
        <f t="shared" si="10"/>
        <v>O chamado de Isaias</v>
      </c>
      <c r="E72" s="42" t="s">
        <v>585</v>
      </c>
      <c r="F72" s="104" t="s">
        <v>710</v>
      </c>
      <c r="G72" s="95">
        <f t="shared" si="12"/>
        <v>45788</v>
      </c>
      <c r="H72" s="44">
        <f t="shared" si="11"/>
        <v>58</v>
      </c>
      <c r="I72" s="42" t="s">
        <v>583</v>
      </c>
      <c r="J72" s="42" t="s">
        <v>583</v>
      </c>
      <c r="K72" s="261"/>
      <c r="L72" s="44" t="s">
        <v>578</v>
      </c>
      <c r="M72" s="42" t="s">
        <v>11</v>
      </c>
      <c r="N72" s="42"/>
    </row>
    <row r="73" spans="1:14">
      <c r="A73" s="42">
        <v>2</v>
      </c>
      <c r="B73" s="42">
        <v>2025</v>
      </c>
      <c r="C73" s="42">
        <v>60</v>
      </c>
      <c r="D73" s="66" t="str">
        <f t="shared" si="10"/>
        <v>A mensagem de Isaias</v>
      </c>
      <c r="E73" s="42" t="s">
        <v>585</v>
      </c>
      <c r="F73" s="104" t="s">
        <v>704</v>
      </c>
      <c r="G73" s="95">
        <f t="shared" si="12"/>
        <v>45795</v>
      </c>
      <c r="H73" s="44">
        <f t="shared" si="11"/>
        <v>59</v>
      </c>
      <c r="I73" s="42" t="s">
        <v>584</v>
      </c>
      <c r="J73" s="42" t="s">
        <v>585</v>
      </c>
      <c r="K73" s="261"/>
      <c r="M73" s="42" t="s">
        <v>11</v>
      </c>
      <c r="N73" s="42"/>
    </row>
    <row r="74" spans="1:14">
      <c r="A74" s="42">
        <v>2</v>
      </c>
      <c r="B74" s="42">
        <v>2025</v>
      </c>
      <c r="C74" s="42">
        <v>61</v>
      </c>
      <c r="D74" s="66" t="str">
        <f t="shared" si="10"/>
        <v>Jeroboão II</v>
      </c>
      <c r="E74" s="42" t="s">
        <v>588</v>
      </c>
      <c r="F74" s="106" t="s">
        <v>694</v>
      </c>
      <c r="G74" s="95">
        <f t="shared" si="12"/>
        <v>45802</v>
      </c>
      <c r="H74" s="44">
        <f t="shared" si="11"/>
        <v>60</v>
      </c>
      <c r="I74" s="42" t="s">
        <v>586</v>
      </c>
      <c r="J74" s="42" t="s">
        <v>585</v>
      </c>
      <c r="K74" s="261"/>
      <c r="L74" s="44"/>
      <c r="M74" s="42" t="s">
        <v>11</v>
      </c>
      <c r="N74" s="42"/>
    </row>
    <row r="75" spans="1:14">
      <c r="A75" s="55">
        <v>2</v>
      </c>
      <c r="B75" s="55">
        <v>2025</v>
      </c>
      <c r="C75" s="55">
        <v>62</v>
      </c>
      <c r="D75" s="65" t="str">
        <f>I76</f>
        <v>De Roboão a Acaz</v>
      </c>
      <c r="E75" s="55" t="s">
        <v>591</v>
      </c>
      <c r="F75" s="118" t="s">
        <v>697</v>
      </c>
      <c r="G75" s="93">
        <f t="shared" si="12"/>
        <v>45809</v>
      </c>
      <c r="H75" s="44">
        <f t="shared" si="11"/>
        <v>61</v>
      </c>
      <c r="I75" s="42" t="s">
        <v>587</v>
      </c>
      <c r="J75" s="42" t="s">
        <v>588</v>
      </c>
      <c r="K75" s="266" t="s">
        <v>589</v>
      </c>
      <c r="L75" s="42"/>
      <c r="M75" s="42" t="s">
        <v>11</v>
      </c>
      <c r="N75" s="42"/>
    </row>
    <row r="76" spans="1:14">
      <c r="A76" s="42">
        <v>2</v>
      </c>
      <c r="B76" s="42">
        <v>2025</v>
      </c>
      <c r="C76" s="42"/>
      <c r="D76" s="66" t="str">
        <f t="shared" si="10"/>
        <v>Ezequias</v>
      </c>
      <c r="E76" s="64" t="s">
        <v>594</v>
      </c>
      <c r="F76" s="105"/>
      <c r="G76" s="95">
        <f>+G75+0</f>
        <v>45809</v>
      </c>
      <c r="H76" s="44">
        <f>+C75</f>
        <v>62</v>
      </c>
      <c r="I76" s="41" t="s">
        <v>590</v>
      </c>
      <c r="J76" s="42" t="s">
        <v>591</v>
      </c>
      <c r="K76" s="267"/>
      <c r="L76" s="42" t="s">
        <v>592</v>
      </c>
      <c r="M76" s="42" t="s">
        <v>11</v>
      </c>
      <c r="N76" s="42"/>
    </row>
    <row r="77" spans="1:14">
      <c r="A77" s="42">
        <v>2</v>
      </c>
      <c r="B77" s="42">
        <v>2025</v>
      </c>
      <c r="C77" s="42">
        <v>63</v>
      </c>
      <c r="D77" s="66" t="str">
        <f t="shared" si="10"/>
        <v>Ezequias e Josias - Reforma do templo</v>
      </c>
      <c r="E77" s="41" t="s">
        <v>226</v>
      </c>
      <c r="F77" s="106" t="s">
        <v>700</v>
      </c>
      <c r="G77" s="95">
        <f t="shared" si="12"/>
        <v>45816</v>
      </c>
      <c r="H77" s="44">
        <f t="shared" si="11"/>
        <v>0</v>
      </c>
      <c r="I77" s="41" t="s">
        <v>593</v>
      </c>
      <c r="J77" s="41" t="s">
        <v>594</v>
      </c>
      <c r="K77" s="267"/>
      <c r="L77" s="42" t="s">
        <v>592</v>
      </c>
      <c r="M77" s="42" t="s">
        <v>11</v>
      </c>
      <c r="N77" s="42"/>
    </row>
    <row r="78" spans="1:14">
      <c r="A78" s="42">
        <v>2</v>
      </c>
      <c r="B78" s="42">
        <v>2025</v>
      </c>
      <c r="C78" s="42">
        <f>C77+1</f>
        <v>64</v>
      </c>
      <c r="D78" s="66" t="str">
        <f t="shared" si="10"/>
        <v>O cativeiro Assírio</v>
      </c>
      <c r="E78" s="42" t="s">
        <v>213</v>
      </c>
      <c r="F78" s="104" t="s">
        <v>704</v>
      </c>
      <c r="G78" s="95">
        <f t="shared" si="12"/>
        <v>45823</v>
      </c>
      <c r="H78" s="44">
        <f t="shared" si="11"/>
        <v>63</v>
      </c>
      <c r="I78" s="46" t="s">
        <v>712</v>
      </c>
      <c r="J78" s="41" t="s">
        <v>226</v>
      </c>
      <c r="K78" s="267"/>
      <c r="L78" s="42" t="s">
        <v>592</v>
      </c>
      <c r="M78" s="42" t="s">
        <v>11</v>
      </c>
      <c r="N78" s="42"/>
    </row>
    <row r="79" spans="1:14">
      <c r="A79" s="42">
        <v>2</v>
      </c>
      <c r="B79" s="42">
        <v>2025</v>
      </c>
      <c r="C79" s="42">
        <f t="shared" ref="C79:C102" si="13">C78+1</f>
        <v>65</v>
      </c>
      <c r="D79" s="66" t="str">
        <f t="shared" si="10"/>
        <v>Naum</v>
      </c>
      <c r="E79" s="41" t="s">
        <v>597</v>
      </c>
      <c r="F79" s="104" t="s">
        <v>710</v>
      </c>
      <c r="G79" s="95">
        <f t="shared" si="12"/>
        <v>45830</v>
      </c>
      <c r="H79" s="44">
        <f t="shared" si="11"/>
        <v>64</v>
      </c>
      <c r="I79" s="42" t="s">
        <v>596</v>
      </c>
      <c r="J79" s="42" t="s">
        <v>213</v>
      </c>
      <c r="K79" s="267"/>
      <c r="L79" s="42" t="s">
        <v>212</v>
      </c>
      <c r="M79" s="42" t="s">
        <v>11</v>
      </c>
      <c r="N79" s="42"/>
    </row>
    <row r="80" spans="1:14">
      <c r="A80" s="42">
        <v>2</v>
      </c>
      <c r="B80" s="42">
        <v>2025</v>
      </c>
      <c r="C80" s="42">
        <f t="shared" si="13"/>
        <v>66</v>
      </c>
      <c r="D80" s="66" t="str">
        <f t="shared" si="10"/>
        <v>Sofonias</v>
      </c>
      <c r="E80" s="41" t="s">
        <v>598</v>
      </c>
      <c r="F80" s="106" t="s">
        <v>694</v>
      </c>
      <c r="G80" s="95">
        <f t="shared" si="12"/>
        <v>45837</v>
      </c>
      <c r="H80" s="44">
        <f t="shared" si="11"/>
        <v>65</v>
      </c>
      <c r="I80" s="41" t="s">
        <v>597</v>
      </c>
      <c r="J80" s="41" t="s">
        <v>597</v>
      </c>
      <c r="K80" s="267"/>
      <c r="M80" s="42" t="s">
        <v>11</v>
      </c>
      <c r="N80" s="42"/>
    </row>
    <row r="81" spans="1:14">
      <c r="A81" s="42">
        <v>2</v>
      </c>
      <c r="B81" s="42">
        <v>2025</v>
      </c>
      <c r="C81" s="42">
        <f t="shared" si="13"/>
        <v>67</v>
      </c>
      <c r="D81" s="66" t="str">
        <f t="shared" si="10"/>
        <v xml:space="preserve"> Jeremias, Profeta de Judá</v>
      </c>
      <c r="E81" s="41" t="s">
        <v>231</v>
      </c>
      <c r="F81" s="104" t="s">
        <v>700</v>
      </c>
      <c r="G81" s="95">
        <f t="shared" si="12"/>
        <v>45844</v>
      </c>
      <c r="H81" s="44">
        <f t="shared" si="11"/>
        <v>66</v>
      </c>
      <c r="I81" s="41" t="s">
        <v>598</v>
      </c>
      <c r="J81" s="41" t="s">
        <v>598</v>
      </c>
      <c r="K81" s="267"/>
      <c r="L81" s="42"/>
      <c r="M81" s="42" t="s">
        <v>11</v>
      </c>
      <c r="N81" s="42"/>
    </row>
    <row r="82" spans="1:14">
      <c r="A82" s="42">
        <v>2</v>
      </c>
      <c r="B82" s="42">
        <v>2025</v>
      </c>
      <c r="C82" s="42">
        <f t="shared" si="13"/>
        <v>68</v>
      </c>
      <c r="D82" s="66" t="str">
        <f t="shared" si="10"/>
        <v xml:space="preserve"> Jeremias, Profeta de Judá</v>
      </c>
      <c r="E82" s="41" t="s">
        <v>231</v>
      </c>
      <c r="F82" s="104" t="s">
        <v>697</v>
      </c>
      <c r="G82" s="95">
        <f t="shared" si="12"/>
        <v>45851</v>
      </c>
      <c r="H82" s="44">
        <f t="shared" si="11"/>
        <v>67</v>
      </c>
      <c r="I82" s="41" t="s">
        <v>599</v>
      </c>
      <c r="J82" s="41" t="s">
        <v>231</v>
      </c>
      <c r="K82" s="267"/>
      <c r="L82" s="41" t="s">
        <v>230</v>
      </c>
      <c r="M82" s="42" t="s">
        <v>11</v>
      </c>
      <c r="N82" s="42"/>
    </row>
    <row r="83" spans="1:14">
      <c r="A83" s="42">
        <v>2</v>
      </c>
      <c r="B83" s="42">
        <v>2025</v>
      </c>
      <c r="C83" s="42">
        <f t="shared" si="13"/>
        <v>69</v>
      </c>
      <c r="D83" s="66" t="str">
        <f t="shared" si="10"/>
        <v>Habacuque</v>
      </c>
      <c r="E83" s="42" t="s">
        <v>600</v>
      </c>
      <c r="F83" s="104" t="s">
        <v>704</v>
      </c>
      <c r="G83" s="95">
        <f t="shared" si="12"/>
        <v>45858</v>
      </c>
      <c r="H83" s="44">
        <f t="shared" si="11"/>
        <v>68</v>
      </c>
      <c r="I83" s="41" t="s">
        <v>599</v>
      </c>
      <c r="J83" s="41" t="s">
        <v>231</v>
      </c>
      <c r="K83" s="267"/>
      <c r="L83" s="41" t="s">
        <v>230</v>
      </c>
      <c r="M83" s="42" t="s">
        <v>11</v>
      </c>
      <c r="N83" s="42"/>
    </row>
    <row r="84" spans="1:14">
      <c r="A84" s="42">
        <v>2</v>
      </c>
      <c r="B84" s="42">
        <v>2025</v>
      </c>
      <c r="C84" s="42">
        <f t="shared" si="13"/>
        <v>70</v>
      </c>
      <c r="D84" s="66" t="str">
        <f t="shared" si="10"/>
        <v>Judá é feito cativo</v>
      </c>
      <c r="E84" s="41" t="s">
        <v>234</v>
      </c>
      <c r="F84" s="104" t="s">
        <v>710</v>
      </c>
      <c r="G84" s="95">
        <f t="shared" si="12"/>
        <v>45865</v>
      </c>
      <c r="H84" s="44">
        <f t="shared" si="11"/>
        <v>69</v>
      </c>
      <c r="I84" s="42" t="s">
        <v>600</v>
      </c>
      <c r="J84" s="42" t="s">
        <v>600</v>
      </c>
      <c r="K84" s="267"/>
      <c r="L84" s="42"/>
      <c r="M84" s="42" t="s">
        <v>11</v>
      </c>
      <c r="N84" s="42"/>
    </row>
    <row r="85" spans="1:14">
      <c r="A85" s="42">
        <v>2</v>
      </c>
      <c r="B85" s="42">
        <v>2025</v>
      </c>
      <c r="C85" s="42">
        <f t="shared" si="13"/>
        <v>71</v>
      </c>
      <c r="D85" s="66" t="str">
        <f t="shared" si="10"/>
        <v>Ezequiel</v>
      </c>
      <c r="E85" s="42" t="s">
        <v>602</v>
      </c>
      <c r="F85" s="106" t="s">
        <v>694</v>
      </c>
      <c r="G85" s="95">
        <f t="shared" si="12"/>
        <v>45872</v>
      </c>
      <c r="H85" s="44">
        <f t="shared" si="11"/>
        <v>70</v>
      </c>
      <c r="I85" s="41" t="s">
        <v>601</v>
      </c>
      <c r="J85" s="41" t="s">
        <v>234</v>
      </c>
      <c r="K85" s="267"/>
      <c r="L85" s="42"/>
      <c r="M85" s="42" t="s">
        <v>11</v>
      </c>
      <c r="N85" s="42"/>
    </row>
    <row r="86" spans="1:14">
      <c r="A86" s="42">
        <v>2</v>
      </c>
      <c r="B86" s="42">
        <v>2025</v>
      </c>
      <c r="C86" s="42">
        <f t="shared" si="13"/>
        <v>72</v>
      </c>
      <c r="D86" s="66" t="str">
        <f t="shared" si="10"/>
        <v>A visão dos ossos secos</v>
      </c>
      <c r="E86" s="41" t="s">
        <v>237</v>
      </c>
      <c r="F86" s="104" t="s">
        <v>697</v>
      </c>
      <c r="G86" s="95">
        <f t="shared" si="12"/>
        <v>45879</v>
      </c>
      <c r="H86" s="44">
        <f t="shared" si="11"/>
        <v>71</v>
      </c>
      <c r="I86" s="42" t="s">
        <v>602</v>
      </c>
      <c r="J86" s="42" t="s">
        <v>602</v>
      </c>
      <c r="K86" s="267"/>
      <c r="L86" s="41" t="s">
        <v>233</v>
      </c>
      <c r="M86" s="42" t="s">
        <v>11</v>
      </c>
      <c r="N86" s="42"/>
    </row>
    <row r="87" spans="1:14">
      <c r="A87" s="42">
        <v>2</v>
      </c>
      <c r="B87" s="42">
        <v>2025</v>
      </c>
      <c r="C87" s="42">
        <f t="shared" si="13"/>
        <v>73</v>
      </c>
      <c r="D87" s="66" t="str">
        <f t="shared" si="10"/>
        <v>Obadias</v>
      </c>
      <c r="E87" s="45" t="s">
        <v>250</v>
      </c>
      <c r="F87" s="104" t="s">
        <v>700</v>
      </c>
      <c r="G87" s="95">
        <f t="shared" si="12"/>
        <v>45886</v>
      </c>
      <c r="H87" s="44">
        <f t="shared" si="11"/>
        <v>72</v>
      </c>
      <c r="I87" s="41" t="s">
        <v>236</v>
      </c>
      <c r="J87" s="41" t="s">
        <v>237</v>
      </c>
      <c r="K87" s="268"/>
      <c r="L87" s="42"/>
      <c r="M87" s="42" t="s">
        <v>11</v>
      </c>
      <c r="N87" s="42"/>
    </row>
    <row r="88" spans="1:14">
      <c r="A88" s="42">
        <v>2</v>
      </c>
      <c r="B88" s="42">
        <v>2025</v>
      </c>
      <c r="C88" s="42">
        <f t="shared" si="13"/>
        <v>74</v>
      </c>
      <c r="D88" s="66" t="str">
        <f t="shared" si="10"/>
        <v>A fornalha ardente</v>
      </c>
      <c r="E88" s="41" t="s">
        <v>605</v>
      </c>
      <c r="F88" s="104" t="s">
        <v>704</v>
      </c>
      <c r="G88" s="95">
        <f t="shared" si="12"/>
        <v>45893</v>
      </c>
      <c r="H88" s="44">
        <f t="shared" si="11"/>
        <v>73</v>
      </c>
      <c r="I88" s="45" t="s">
        <v>250</v>
      </c>
      <c r="J88" s="45" t="s">
        <v>250</v>
      </c>
      <c r="K88" s="257" t="s">
        <v>603</v>
      </c>
      <c r="L88" s="41"/>
      <c r="M88" s="42" t="s">
        <v>11</v>
      </c>
      <c r="N88" s="42"/>
    </row>
    <row r="89" spans="1:14">
      <c r="A89" s="42">
        <v>2</v>
      </c>
      <c r="B89" s="42">
        <v>2025</v>
      </c>
      <c r="C89" s="42">
        <f t="shared" si="13"/>
        <v>75</v>
      </c>
      <c r="D89" s="66" t="str">
        <f t="shared" si="10"/>
        <v>O sonho de Nabucodonosor</v>
      </c>
      <c r="E89" s="41" t="s">
        <v>607</v>
      </c>
      <c r="F89" s="104" t="s">
        <v>710</v>
      </c>
      <c r="G89" s="95">
        <f t="shared" si="12"/>
        <v>45900</v>
      </c>
      <c r="H89" s="44">
        <f t="shared" si="11"/>
        <v>74</v>
      </c>
      <c r="I89" s="41" t="s">
        <v>604</v>
      </c>
      <c r="J89" s="41" t="s">
        <v>605</v>
      </c>
      <c r="K89" s="260"/>
      <c r="L89" s="41" t="s">
        <v>240</v>
      </c>
      <c r="M89" s="42" t="s">
        <v>11</v>
      </c>
      <c r="N89" s="42"/>
    </row>
    <row r="90" spans="1:14">
      <c r="A90" s="42">
        <v>2</v>
      </c>
      <c r="B90" s="42">
        <v>2025</v>
      </c>
      <c r="C90" s="42">
        <f t="shared" si="13"/>
        <v>76</v>
      </c>
      <c r="D90" s="66" t="str">
        <f t="shared" si="10"/>
        <v>Daniel na cova dos leões</v>
      </c>
      <c r="E90" s="41" t="s">
        <v>610</v>
      </c>
      <c r="F90" s="106" t="s">
        <v>694</v>
      </c>
      <c r="G90" s="93">
        <f>+G89+14</f>
        <v>45914</v>
      </c>
      <c r="H90" s="44">
        <f t="shared" si="11"/>
        <v>75</v>
      </c>
      <c r="I90" s="46" t="s">
        <v>606</v>
      </c>
      <c r="J90" s="41" t="s">
        <v>607</v>
      </c>
      <c r="K90" s="260"/>
      <c r="L90" s="41" t="s">
        <v>608</v>
      </c>
      <c r="M90" s="42" t="s">
        <v>11</v>
      </c>
      <c r="N90" s="42"/>
    </row>
    <row r="91" spans="1:14">
      <c r="A91" s="42">
        <v>2</v>
      </c>
      <c r="B91" s="42">
        <v>2025</v>
      </c>
      <c r="C91" s="42">
        <f t="shared" si="13"/>
        <v>77</v>
      </c>
      <c r="D91" s="64" t="str">
        <f>I92</f>
        <v>A visão de Daniel</v>
      </c>
      <c r="E91" s="41" t="s">
        <v>247</v>
      </c>
      <c r="F91" s="104" t="s">
        <v>697</v>
      </c>
      <c r="G91" s="95">
        <f>+G90+7</f>
        <v>45921</v>
      </c>
      <c r="H91" s="44">
        <f t="shared" si="11"/>
        <v>76</v>
      </c>
      <c r="I91" s="41" t="s">
        <v>609</v>
      </c>
      <c r="J91" s="41" t="s">
        <v>610</v>
      </c>
      <c r="K91" s="260"/>
      <c r="L91" s="41" t="s">
        <v>611</v>
      </c>
      <c r="M91" s="42" t="s">
        <v>11</v>
      </c>
      <c r="N91" s="42"/>
    </row>
    <row r="92" spans="1:14">
      <c r="A92" s="42">
        <v>2</v>
      </c>
      <c r="B92" s="42">
        <v>2025</v>
      </c>
      <c r="C92" s="42">
        <f t="shared" si="13"/>
        <v>78</v>
      </c>
      <c r="D92" s="66" t="str">
        <f t="shared" si="10"/>
        <v>O Retorno dos Exilados</v>
      </c>
      <c r="E92" s="41" t="s">
        <v>253</v>
      </c>
      <c r="F92" s="104" t="s">
        <v>700</v>
      </c>
      <c r="G92" s="95">
        <f>+G91+7</f>
        <v>45928</v>
      </c>
      <c r="H92" s="44">
        <f t="shared" si="11"/>
        <v>77</v>
      </c>
      <c r="I92" s="41" t="s">
        <v>612</v>
      </c>
      <c r="J92" s="41" t="s">
        <v>247</v>
      </c>
      <c r="K92" s="258"/>
      <c r="L92" s="41"/>
      <c r="M92" s="42" t="s">
        <v>11</v>
      </c>
      <c r="N92" s="42"/>
    </row>
    <row r="93" spans="1:14">
      <c r="A93" s="42">
        <v>2</v>
      </c>
      <c r="B93" s="42">
        <v>2025</v>
      </c>
      <c r="C93" s="42">
        <f t="shared" si="13"/>
        <v>79</v>
      </c>
      <c r="D93" s="66" t="str">
        <f t="shared" si="10"/>
        <v>A reconstrução do templo</v>
      </c>
      <c r="E93" s="41" t="s">
        <v>257</v>
      </c>
      <c r="F93" s="104" t="s">
        <v>704</v>
      </c>
      <c r="G93" s="95">
        <f>+G92+7</f>
        <v>45935</v>
      </c>
      <c r="H93" s="44">
        <f t="shared" si="11"/>
        <v>78</v>
      </c>
      <c r="I93" s="41" t="s">
        <v>613</v>
      </c>
      <c r="J93" s="41" t="s">
        <v>253</v>
      </c>
      <c r="K93" s="257" t="s">
        <v>614</v>
      </c>
      <c r="L93" s="41"/>
      <c r="M93" s="42" t="s">
        <v>11</v>
      </c>
      <c r="N93" s="42"/>
    </row>
    <row r="94" spans="1:14">
      <c r="A94" s="42">
        <v>2</v>
      </c>
      <c r="B94" s="42">
        <v>2025</v>
      </c>
      <c r="C94" s="42">
        <f t="shared" si="13"/>
        <v>80</v>
      </c>
      <c r="D94" s="66" t="str">
        <f t="shared" si="10"/>
        <v>A promessa de um rei que vem – Zacarias, o profeta</v>
      </c>
      <c r="E94" s="41" t="s">
        <v>260</v>
      </c>
      <c r="F94" s="104" t="s">
        <v>710</v>
      </c>
      <c r="G94" s="95">
        <f>+G93+7</f>
        <v>45942</v>
      </c>
      <c r="H94" s="44">
        <f t="shared" si="11"/>
        <v>79</v>
      </c>
      <c r="I94" s="41" t="s">
        <v>615</v>
      </c>
      <c r="J94" s="41" t="s">
        <v>257</v>
      </c>
      <c r="K94" s="260"/>
      <c r="L94" s="41"/>
      <c r="M94" s="42" t="s">
        <v>11</v>
      </c>
      <c r="N94" s="42"/>
    </row>
    <row r="95" spans="1:14">
      <c r="A95" s="42">
        <v>2</v>
      </c>
      <c r="B95" s="42">
        <v>2025</v>
      </c>
      <c r="C95" s="42">
        <f t="shared" si="13"/>
        <v>81</v>
      </c>
      <c r="D95" s="66" t="str">
        <f t="shared" si="10"/>
        <v>Celebrando o livramento do Senhor</v>
      </c>
      <c r="E95" s="41" t="s">
        <v>713</v>
      </c>
      <c r="F95" s="106" t="s">
        <v>700</v>
      </c>
      <c r="G95" s="95">
        <f>+G94+14</f>
        <v>45956</v>
      </c>
      <c r="H95" s="44">
        <f t="shared" si="11"/>
        <v>80</v>
      </c>
      <c r="I95" s="41" t="s">
        <v>259</v>
      </c>
      <c r="J95" s="41" t="s">
        <v>260</v>
      </c>
      <c r="K95" s="258"/>
      <c r="L95" s="41"/>
      <c r="M95" s="42" t="s">
        <v>11</v>
      </c>
      <c r="N95" s="42"/>
    </row>
    <row r="96" spans="1:14">
      <c r="A96" s="42">
        <v>2</v>
      </c>
      <c r="B96" s="42">
        <v>2025</v>
      </c>
      <c r="C96" s="42">
        <f t="shared" si="13"/>
        <v>82</v>
      </c>
      <c r="D96" s="66" t="str">
        <f t="shared" si="10"/>
        <v>Celebrando o livramento do Senhor</v>
      </c>
      <c r="E96" s="41" t="s">
        <v>714</v>
      </c>
      <c r="F96" s="104" t="s">
        <v>694</v>
      </c>
      <c r="G96" s="95">
        <f t="shared" ref="G96:G104" si="14">+G95+7</f>
        <v>45963</v>
      </c>
      <c r="H96" s="44">
        <f t="shared" si="11"/>
        <v>81</v>
      </c>
      <c r="I96" s="41" t="s">
        <v>262</v>
      </c>
      <c r="J96" s="41" t="s">
        <v>616</v>
      </c>
      <c r="K96" s="257" t="s">
        <v>617</v>
      </c>
      <c r="L96" s="41"/>
      <c r="M96" s="42" t="s">
        <v>11</v>
      </c>
      <c r="N96" s="42"/>
    </row>
    <row r="97" spans="1:14">
      <c r="A97" s="42">
        <v>2</v>
      </c>
      <c r="B97" s="42">
        <v>2025</v>
      </c>
      <c r="C97" s="42">
        <f t="shared" si="13"/>
        <v>83</v>
      </c>
      <c r="D97" s="66" t="str">
        <f t="shared" si="10"/>
        <v>Jó</v>
      </c>
      <c r="E97" s="42" t="s">
        <v>618</v>
      </c>
      <c r="F97" s="104" t="s">
        <v>694</v>
      </c>
      <c r="G97" s="95">
        <f t="shared" si="14"/>
        <v>45970</v>
      </c>
      <c r="H97" s="44">
        <f t="shared" si="11"/>
        <v>82</v>
      </c>
      <c r="I97" s="41" t="s">
        <v>262</v>
      </c>
      <c r="J97" s="41" t="s">
        <v>616</v>
      </c>
      <c r="K97" s="260"/>
      <c r="L97" s="41"/>
      <c r="M97" s="42" t="s">
        <v>11</v>
      </c>
      <c r="N97" s="42"/>
    </row>
    <row r="98" spans="1:14">
      <c r="A98" s="42">
        <v>2</v>
      </c>
      <c r="B98" s="42">
        <v>2025</v>
      </c>
      <c r="C98" s="42">
        <f t="shared" si="13"/>
        <v>84</v>
      </c>
      <c r="D98" s="66" t="str">
        <f t="shared" si="10"/>
        <v>Jó</v>
      </c>
      <c r="E98" s="42" t="s">
        <v>618</v>
      </c>
      <c r="F98" s="104" t="s">
        <v>704</v>
      </c>
      <c r="G98" s="95">
        <f t="shared" si="14"/>
        <v>45977</v>
      </c>
      <c r="H98" s="68">
        <f t="shared" si="11"/>
        <v>83</v>
      </c>
      <c r="I98" s="55" t="s">
        <v>618</v>
      </c>
      <c r="J98" s="55" t="s">
        <v>618</v>
      </c>
      <c r="K98" s="260"/>
      <c r="L98" s="41"/>
      <c r="M98" s="42" t="s">
        <v>11</v>
      </c>
      <c r="N98" s="42"/>
    </row>
    <row r="99" spans="1:14">
      <c r="A99" s="42">
        <v>2</v>
      </c>
      <c r="B99" s="42">
        <v>2025</v>
      </c>
      <c r="C99" s="42">
        <f t="shared" si="13"/>
        <v>85</v>
      </c>
      <c r="D99" s="66" t="str">
        <f t="shared" si="10"/>
        <v>Deus protege seu povo através de um copeiro – As muralhas reconstruídas</v>
      </c>
      <c r="E99" s="41" t="s">
        <v>268</v>
      </c>
      <c r="F99" s="104" t="s">
        <v>710</v>
      </c>
      <c r="G99" s="95">
        <f t="shared" si="14"/>
        <v>45984</v>
      </c>
      <c r="H99" s="68">
        <f t="shared" si="11"/>
        <v>84</v>
      </c>
      <c r="I99" s="55" t="s">
        <v>618</v>
      </c>
      <c r="J99" s="55" t="s">
        <v>618</v>
      </c>
      <c r="K99" s="260"/>
      <c r="L99" s="41"/>
      <c r="M99" s="42" t="s">
        <v>11</v>
      </c>
      <c r="N99" s="42"/>
    </row>
    <row r="100" spans="1:14">
      <c r="A100" s="42">
        <v>2</v>
      </c>
      <c r="B100" s="42">
        <v>2025</v>
      </c>
      <c r="C100" s="42">
        <f t="shared" si="13"/>
        <v>86</v>
      </c>
      <c r="D100" s="66" t="str">
        <f t="shared" si="10"/>
        <v>Deus revive seu povo através de um escriba – O povo de Deus se arrepende</v>
      </c>
      <c r="E100" s="41" t="s">
        <v>271</v>
      </c>
      <c r="F100" s="106" t="s">
        <v>694</v>
      </c>
      <c r="G100" s="95">
        <f t="shared" si="14"/>
        <v>45991</v>
      </c>
      <c r="H100" s="44">
        <f t="shared" si="11"/>
        <v>85</v>
      </c>
      <c r="I100" s="41" t="s">
        <v>267</v>
      </c>
      <c r="J100" s="41" t="s">
        <v>268</v>
      </c>
      <c r="K100" s="260"/>
      <c r="L100" s="41"/>
      <c r="M100" s="42" t="s">
        <v>11</v>
      </c>
      <c r="N100" s="42"/>
    </row>
    <row r="101" spans="1:14">
      <c r="A101" s="42">
        <v>2</v>
      </c>
      <c r="B101" s="42">
        <v>2025</v>
      </c>
      <c r="C101" s="42">
        <f t="shared" si="13"/>
        <v>87</v>
      </c>
      <c r="D101" s="66" t="str">
        <f t="shared" si="10"/>
        <v>Deus adverte seu povo através de um profeta</v>
      </c>
      <c r="E101" s="41" t="str">
        <f>J102</f>
        <v>Malaquias</v>
      </c>
      <c r="F101" s="104" t="s">
        <v>697</v>
      </c>
      <c r="G101" s="95">
        <f t="shared" si="14"/>
        <v>45998</v>
      </c>
      <c r="H101" s="44">
        <f t="shared" si="11"/>
        <v>86</v>
      </c>
      <c r="I101" s="41" t="s">
        <v>270</v>
      </c>
      <c r="J101" s="41" t="s">
        <v>271</v>
      </c>
      <c r="K101" s="260"/>
      <c r="L101" s="41"/>
      <c r="M101" s="42" t="s">
        <v>11</v>
      </c>
      <c r="N101" s="42"/>
    </row>
    <row r="102" spans="1:14">
      <c r="A102" s="42">
        <v>2</v>
      </c>
      <c r="B102" s="42">
        <v>2025</v>
      </c>
      <c r="C102" s="42">
        <f t="shared" si="13"/>
        <v>88</v>
      </c>
      <c r="D102" s="64" t="str">
        <f>I104</f>
        <v>Nascimento de Jesus</v>
      </c>
      <c r="E102" s="41" t="str">
        <f>J104</f>
        <v>Mt 1 e 2</v>
      </c>
      <c r="F102" s="121" t="s">
        <v>700</v>
      </c>
      <c r="G102" s="95">
        <f t="shared" si="14"/>
        <v>46005</v>
      </c>
      <c r="H102" s="44">
        <f t="shared" si="11"/>
        <v>87</v>
      </c>
      <c r="I102" s="41" t="s">
        <v>274</v>
      </c>
      <c r="J102" s="41" t="s">
        <v>275</v>
      </c>
      <c r="K102" s="258"/>
      <c r="L102" s="41"/>
      <c r="M102" s="42" t="s">
        <v>11</v>
      </c>
      <c r="N102" s="42"/>
    </row>
    <row r="103" spans="1:14">
      <c r="A103" s="42">
        <v>2</v>
      </c>
      <c r="B103" s="42">
        <v>2025</v>
      </c>
      <c r="C103" s="42"/>
      <c r="D103" s="89" t="str">
        <f>I105</f>
        <v>Natal</v>
      </c>
      <c r="E103" s="66"/>
      <c r="F103" s="105"/>
      <c r="G103" s="95">
        <f t="shared" si="14"/>
        <v>46012</v>
      </c>
      <c r="H103" s="44"/>
      <c r="I103" s="3" t="s">
        <v>715</v>
      </c>
      <c r="J103" s="41"/>
      <c r="K103" s="41" t="s">
        <v>619</v>
      </c>
      <c r="L103" s="41"/>
      <c r="M103" s="42"/>
      <c r="N103" s="42"/>
    </row>
    <row r="104" spans="1:14">
      <c r="A104" s="42">
        <v>2</v>
      </c>
      <c r="B104" s="42">
        <v>2025</v>
      </c>
      <c r="C104" s="42"/>
      <c r="D104" s="89" t="str">
        <f>I106</f>
        <v>Ano Novo</v>
      </c>
      <c r="E104" s="64"/>
      <c r="F104" s="105"/>
      <c r="G104" s="95">
        <f t="shared" si="14"/>
        <v>46019</v>
      </c>
      <c r="H104" s="44">
        <v>88</v>
      </c>
      <c r="I104" s="41" t="s">
        <v>620</v>
      </c>
      <c r="J104" s="41" t="s">
        <v>621</v>
      </c>
      <c r="K104" s="41"/>
      <c r="L104" s="41"/>
      <c r="M104" s="41" t="s">
        <v>227</v>
      </c>
      <c r="N104" s="42"/>
    </row>
    <row r="105" spans="1:14">
      <c r="A105" s="42">
        <v>2</v>
      </c>
      <c r="B105" s="42">
        <v>2025</v>
      </c>
      <c r="C105" s="42">
        <v>89</v>
      </c>
      <c r="D105" s="64" t="str">
        <f t="shared" ref="D105:D106" si="15">I107</f>
        <v>Evangelhos</v>
      </c>
      <c r="E105" s="41" t="str">
        <f>J107</f>
        <v>O ministério de Jesus - parte 1</v>
      </c>
      <c r="F105" s="106" t="s">
        <v>704</v>
      </c>
      <c r="G105" s="95">
        <f>+G104+14</f>
        <v>46033</v>
      </c>
      <c r="H105" s="44"/>
      <c r="I105" s="3" t="s">
        <v>429</v>
      </c>
      <c r="J105" s="41"/>
      <c r="K105" s="41"/>
      <c r="L105" s="41"/>
      <c r="M105" s="41"/>
      <c r="N105" s="42"/>
    </row>
    <row r="106" spans="1:14">
      <c r="A106" s="42">
        <v>2</v>
      </c>
      <c r="B106" s="42">
        <v>2025</v>
      </c>
      <c r="C106" s="42">
        <f>C105+1</f>
        <v>90</v>
      </c>
      <c r="D106" s="64" t="str">
        <f t="shared" si="15"/>
        <v>Evangelhos</v>
      </c>
      <c r="E106" s="41" t="str">
        <f t="shared" ref="E106:E109" si="16">J108</f>
        <v>Mateus</v>
      </c>
      <c r="F106" s="104" t="s">
        <v>710</v>
      </c>
      <c r="G106" s="95">
        <f t="shared" si="12"/>
        <v>46040</v>
      </c>
      <c r="H106" s="44"/>
      <c r="I106" s="3" t="s">
        <v>430</v>
      </c>
      <c r="J106" s="42"/>
      <c r="K106" s="41"/>
      <c r="L106" s="41"/>
      <c r="M106" s="41"/>
      <c r="N106" s="42"/>
    </row>
    <row r="107" spans="1:14">
      <c r="A107" s="42">
        <v>3</v>
      </c>
      <c r="B107" s="42">
        <v>2026</v>
      </c>
      <c r="C107" s="42">
        <f t="shared" ref="C107:C118" si="17">C106+1</f>
        <v>91</v>
      </c>
      <c r="D107" s="64" t="str">
        <f>I108</f>
        <v>Evangelhos</v>
      </c>
      <c r="E107" s="41" t="str">
        <f t="shared" si="16"/>
        <v>Marcos</v>
      </c>
      <c r="F107" s="106" t="s">
        <v>694</v>
      </c>
      <c r="G107" s="95">
        <f t="shared" si="12"/>
        <v>46047</v>
      </c>
      <c r="H107" s="44">
        <f>C106-1</f>
        <v>89</v>
      </c>
      <c r="I107" s="41" t="s">
        <v>131</v>
      </c>
      <c r="J107" s="41" t="s">
        <v>622</v>
      </c>
      <c r="K107" s="257" t="s">
        <v>131</v>
      </c>
      <c r="L107" s="41"/>
      <c r="M107" s="41" t="s">
        <v>227</v>
      </c>
      <c r="N107" s="42"/>
    </row>
    <row r="108" spans="1:14">
      <c r="A108" s="42">
        <v>3</v>
      </c>
      <c r="B108" s="42">
        <v>2026</v>
      </c>
      <c r="C108" s="42">
        <f t="shared" si="17"/>
        <v>92</v>
      </c>
      <c r="D108" s="64" t="str">
        <f t="shared" ref="D108:D154" si="18">I109</f>
        <v>Evangelhos</v>
      </c>
      <c r="E108" s="41" t="str">
        <f t="shared" si="16"/>
        <v>Lucas</v>
      </c>
      <c r="F108" s="104" t="s">
        <v>697</v>
      </c>
      <c r="G108" s="95">
        <f t="shared" si="12"/>
        <v>46054</v>
      </c>
      <c r="H108" s="44">
        <f t="shared" ref="H108:H118" si="19">C107-1</f>
        <v>90</v>
      </c>
      <c r="I108" s="41" t="s">
        <v>131</v>
      </c>
      <c r="J108" s="41" t="s">
        <v>623</v>
      </c>
      <c r="K108" s="260"/>
      <c r="L108" s="41"/>
      <c r="M108" s="41" t="s">
        <v>227</v>
      </c>
      <c r="N108" s="42"/>
    </row>
    <row r="109" spans="1:14">
      <c r="A109" s="42">
        <v>3</v>
      </c>
      <c r="B109" s="42">
        <v>2026</v>
      </c>
      <c r="C109" s="42">
        <f t="shared" si="17"/>
        <v>93</v>
      </c>
      <c r="D109" s="64" t="str">
        <f t="shared" si="18"/>
        <v>Evangelhos</v>
      </c>
      <c r="E109" s="41" t="str">
        <f t="shared" si="16"/>
        <v>João</v>
      </c>
      <c r="F109" s="104" t="s">
        <v>700</v>
      </c>
      <c r="G109" s="95">
        <f t="shared" si="12"/>
        <v>46061</v>
      </c>
      <c r="H109" s="44">
        <f t="shared" si="19"/>
        <v>91</v>
      </c>
      <c r="I109" s="41" t="s">
        <v>131</v>
      </c>
      <c r="J109" s="41" t="s">
        <v>624</v>
      </c>
      <c r="K109" s="260"/>
      <c r="L109" s="41"/>
      <c r="M109" s="41" t="s">
        <v>227</v>
      </c>
      <c r="N109" s="42"/>
    </row>
    <row r="110" spans="1:14">
      <c r="A110" s="42">
        <v>3</v>
      </c>
      <c r="B110" s="42">
        <v>2026</v>
      </c>
      <c r="C110" s="42">
        <f t="shared" si="17"/>
        <v>94</v>
      </c>
      <c r="D110" s="64" t="str">
        <f t="shared" si="18"/>
        <v>Evangelhos</v>
      </c>
      <c r="E110" s="41" t="s">
        <v>625</v>
      </c>
      <c r="F110" s="104" t="s">
        <v>704</v>
      </c>
      <c r="G110" s="95">
        <f t="shared" si="12"/>
        <v>46068</v>
      </c>
      <c r="H110" s="44">
        <f t="shared" si="19"/>
        <v>92</v>
      </c>
      <c r="I110" s="41" t="s">
        <v>131</v>
      </c>
      <c r="J110" s="41" t="s">
        <v>625</v>
      </c>
      <c r="K110" s="260"/>
      <c r="L110" s="41"/>
      <c r="M110" s="41" t="s">
        <v>227</v>
      </c>
      <c r="N110" s="42"/>
    </row>
    <row r="111" spans="1:14">
      <c r="A111" s="42">
        <v>3</v>
      </c>
      <c r="B111" s="42">
        <v>2026</v>
      </c>
      <c r="C111" s="42">
        <f t="shared" si="17"/>
        <v>95</v>
      </c>
      <c r="D111" s="64" t="str">
        <f t="shared" si="18"/>
        <v>Evangelhos</v>
      </c>
      <c r="E111" s="41" t="s">
        <v>626</v>
      </c>
      <c r="F111" s="104" t="s">
        <v>710</v>
      </c>
      <c r="G111" s="95">
        <f t="shared" si="12"/>
        <v>46075</v>
      </c>
      <c r="H111" s="44">
        <f t="shared" si="19"/>
        <v>93</v>
      </c>
      <c r="I111" s="41" t="s">
        <v>131</v>
      </c>
      <c r="J111" s="41" t="s">
        <v>626</v>
      </c>
      <c r="K111" s="260"/>
      <c r="L111" s="41"/>
      <c r="M111" s="41" t="s">
        <v>227</v>
      </c>
      <c r="N111" s="41" t="s">
        <v>627</v>
      </c>
    </row>
    <row r="112" spans="1:14">
      <c r="A112" s="42">
        <v>3</v>
      </c>
      <c r="B112" s="42">
        <v>2026</v>
      </c>
      <c r="C112" s="42">
        <f t="shared" si="17"/>
        <v>96</v>
      </c>
      <c r="D112" s="64" t="str">
        <f t="shared" si="18"/>
        <v>Feriado de Carnaval</v>
      </c>
      <c r="E112" s="41" t="s">
        <v>628</v>
      </c>
      <c r="F112" s="103"/>
      <c r="G112" s="95">
        <f t="shared" si="12"/>
        <v>46082</v>
      </c>
      <c r="H112" s="44">
        <f t="shared" si="19"/>
        <v>94</v>
      </c>
      <c r="I112" s="41" t="s">
        <v>131</v>
      </c>
      <c r="J112" s="41" t="s">
        <v>628</v>
      </c>
      <c r="K112" s="260"/>
      <c r="L112" s="41"/>
      <c r="M112" s="41" t="s">
        <v>227</v>
      </c>
      <c r="N112" s="42"/>
    </row>
    <row r="113" spans="1:14">
      <c r="A113" s="42">
        <v>3</v>
      </c>
      <c r="B113" s="42">
        <v>2026</v>
      </c>
      <c r="C113" s="42">
        <f t="shared" si="17"/>
        <v>97</v>
      </c>
      <c r="D113" s="64" t="str">
        <f t="shared" si="18"/>
        <v>Evangelhos</v>
      </c>
      <c r="E113" s="41" t="s">
        <v>629</v>
      </c>
      <c r="F113" s="103"/>
      <c r="G113" s="95">
        <f>+G112+7</f>
        <v>46089</v>
      </c>
      <c r="H113" s="44">
        <f t="shared" si="19"/>
        <v>95</v>
      </c>
      <c r="I113" s="3" t="s">
        <v>575</v>
      </c>
      <c r="J113" s="41" t="s">
        <v>629</v>
      </c>
      <c r="K113" s="260"/>
      <c r="L113" s="41"/>
      <c r="M113" s="41" t="s">
        <v>227</v>
      </c>
      <c r="N113" s="42"/>
    </row>
    <row r="114" spans="1:14">
      <c r="A114" s="42">
        <v>3</v>
      </c>
      <c r="B114" s="42">
        <v>2026</v>
      </c>
      <c r="C114" s="42">
        <f t="shared" si="17"/>
        <v>98</v>
      </c>
      <c r="D114" s="64" t="str">
        <f t="shared" si="18"/>
        <v>Evangelhos</v>
      </c>
      <c r="E114" s="41"/>
      <c r="F114" s="103"/>
      <c r="G114" s="95">
        <f t="shared" si="12"/>
        <v>46096</v>
      </c>
      <c r="H114" s="44">
        <f t="shared" si="19"/>
        <v>96</v>
      </c>
      <c r="I114" s="41" t="s">
        <v>131</v>
      </c>
      <c r="J114" s="41"/>
      <c r="K114" s="260"/>
      <c r="L114" s="41"/>
      <c r="M114" s="41" t="s">
        <v>227</v>
      </c>
      <c r="N114" s="42"/>
    </row>
    <row r="115" spans="1:14">
      <c r="A115" s="42">
        <v>3</v>
      </c>
      <c r="B115" s="42">
        <v>2026</v>
      </c>
      <c r="C115" s="42">
        <f t="shared" si="17"/>
        <v>99</v>
      </c>
      <c r="D115" s="64" t="str">
        <f t="shared" si="18"/>
        <v>Transformados pelo Espírito Santo</v>
      </c>
      <c r="E115" s="41" t="s">
        <v>630</v>
      </c>
      <c r="F115" s="103"/>
      <c r="G115" s="95">
        <f t="shared" si="12"/>
        <v>46103</v>
      </c>
      <c r="H115" s="44">
        <f t="shared" si="19"/>
        <v>97</v>
      </c>
      <c r="I115" s="41" t="s">
        <v>131</v>
      </c>
      <c r="J115" s="41"/>
      <c r="K115" s="258"/>
      <c r="L115" s="41"/>
      <c r="M115" s="41" t="s">
        <v>227</v>
      </c>
      <c r="N115" s="42"/>
    </row>
    <row r="116" spans="1:14">
      <c r="A116" s="42">
        <v>3</v>
      </c>
      <c r="B116" s="42">
        <v>2026</v>
      </c>
      <c r="C116" s="42">
        <f t="shared" si="17"/>
        <v>100</v>
      </c>
      <c r="D116" s="64" t="str">
        <f t="shared" si="18"/>
        <v>Vida Comum na Igreja
Curas, Pregação e Perseguição</v>
      </c>
      <c r="E116" s="41" t="s">
        <v>632</v>
      </c>
      <c r="F116" s="103"/>
      <c r="G116" s="95">
        <f t="shared" si="12"/>
        <v>46110</v>
      </c>
      <c r="H116" s="44">
        <f t="shared" si="19"/>
        <v>98</v>
      </c>
      <c r="I116" s="48" t="s">
        <v>309</v>
      </c>
      <c r="J116" s="41" t="s">
        <v>630</v>
      </c>
      <c r="K116" s="257" t="s">
        <v>631</v>
      </c>
      <c r="L116" s="41"/>
      <c r="M116" s="41" t="s">
        <v>227</v>
      </c>
      <c r="N116" s="42"/>
    </row>
    <row r="117" spans="1:14">
      <c r="A117" s="42">
        <v>3</v>
      </c>
      <c r="B117" s="42">
        <v>2026</v>
      </c>
      <c r="C117" s="42">
        <f t="shared" si="17"/>
        <v>101</v>
      </c>
      <c r="D117" s="64" t="str">
        <f t="shared" si="18"/>
        <v>O sermão de Estêvão</v>
      </c>
      <c r="E117" s="41" t="s">
        <v>633</v>
      </c>
      <c r="F117" s="103"/>
      <c r="G117" s="95">
        <f t="shared" si="12"/>
        <v>46117</v>
      </c>
      <c r="H117" s="44">
        <f t="shared" si="19"/>
        <v>99</v>
      </c>
      <c r="I117" s="41" t="s">
        <v>312</v>
      </c>
      <c r="J117" s="41" t="s">
        <v>632</v>
      </c>
      <c r="K117" s="260"/>
      <c r="L117" s="41"/>
      <c r="M117" s="41" t="s">
        <v>227</v>
      </c>
      <c r="N117" s="42"/>
    </row>
    <row r="118" spans="1:14">
      <c r="A118" s="42">
        <v>3</v>
      </c>
      <c r="B118" s="42">
        <v>2026</v>
      </c>
      <c r="C118" s="42">
        <f t="shared" si="17"/>
        <v>102</v>
      </c>
      <c r="D118" s="64" t="str">
        <f t="shared" si="18"/>
        <v>O testemunho de Filipe fora de Jerusalém</v>
      </c>
      <c r="E118" s="41" t="s">
        <v>319</v>
      </c>
      <c r="F118" s="103"/>
      <c r="G118" s="95">
        <f t="shared" si="12"/>
        <v>46124</v>
      </c>
      <c r="H118" s="44">
        <f t="shared" si="19"/>
        <v>100</v>
      </c>
      <c r="I118" s="41" t="s">
        <v>315</v>
      </c>
      <c r="J118" s="41" t="s">
        <v>633</v>
      </c>
      <c r="K118" s="260"/>
      <c r="L118" s="41"/>
      <c r="M118" s="41" t="s">
        <v>227</v>
      </c>
      <c r="N118" s="42"/>
    </row>
    <row r="119" spans="1:14">
      <c r="A119" s="42">
        <v>3</v>
      </c>
      <c r="B119" s="42">
        <v>2026</v>
      </c>
      <c r="C119" s="42">
        <v>104</v>
      </c>
      <c r="D119" s="64" t="str">
        <f t="shared" si="18"/>
        <v>Domingo de Páscoa</v>
      </c>
      <c r="E119" s="41"/>
      <c r="F119" s="103"/>
      <c r="G119" s="95">
        <f t="shared" si="12"/>
        <v>46131</v>
      </c>
      <c r="H119" s="44">
        <f t="shared" ref="H119:H121" si="20">1+C118</f>
        <v>103</v>
      </c>
      <c r="I119" s="41" t="s">
        <v>318</v>
      </c>
      <c r="J119" s="41" t="s">
        <v>319</v>
      </c>
      <c r="K119" s="258"/>
      <c r="L119" s="41"/>
      <c r="M119" s="41" t="s">
        <v>227</v>
      </c>
      <c r="N119" s="42"/>
    </row>
    <row r="120" spans="1:14">
      <c r="A120" s="42">
        <v>3</v>
      </c>
      <c r="B120" s="42">
        <v>2026</v>
      </c>
      <c r="C120" s="42">
        <v>105</v>
      </c>
      <c r="D120" s="64" t="str">
        <f t="shared" si="18"/>
        <v>A conversão de Saulo</v>
      </c>
      <c r="E120" s="41" t="s">
        <v>634</v>
      </c>
      <c r="F120" s="103"/>
      <c r="G120" s="95">
        <f t="shared" si="12"/>
        <v>46138</v>
      </c>
      <c r="H120" s="44">
        <f t="shared" si="20"/>
        <v>105</v>
      </c>
      <c r="I120" s="3" t="s">
        <v>475</v>
      </c>
      <c r="J120" s="41"/>
      <c r="K120" s="41"/>
      <c r="L120" s="41"/>
      <c r="M120" s="41"/>
      <c r="N120" s="42"/>
    </row>
    <row r="121" spans="1:14">
      <c r="A121" s="42">
        <v>3</v>
      </c>
      <c r="B121" s="42">
        <v>2026</v>
      </c>
      <c r="C121" s="42">
        <v>106</v>
      </c>
      <c r="D121" s="64" t="str">
        <f t="shared" si="18"/>
        <v>A igreja é enviada a todos (Pedro e Cornélio) + Barnabé em Antioquia</v>
      </c>
      <c r="E121" s="41" t="s">
        <v>636</v>
      </c>
      <c r="F121" s="103"/>
      <c r="G121" s="95">
        <f t="shared" si="12"/>
        <v>46145</v>
      </c>
      <c r="H121" s="44">
        <f t="shared" si="20"/>
        <v>106</v>
      </c>
      <c r="I121" s="41" t="s">
        <v>322</v>
      </c>
      <c r="J121" s="41" t="s">
        <v>634</v>
      </c>
      <c r="K121" s="257" t="s">
        <v>635</v>
      </c>
      <c r="L121" s="41"/>
      <c r="M121" s="41" t="s">
        <v>227</v>
      </c>
      <c r="N121" s="42"/>
    </row>
    <row r="122" spans="1:14">
      <c r="A122" s="42">
        <v>3</v>
      </c>
      <c r="B122" s="42">
        <v>2026</v>
      </c>
      <c r="C122" s="42">
        <v>107</v>
      </c>
      <c r="D122" s="64" t="str">
        <f t="shared" si="18"/>
        <v>A igreja de Jerusalém é perseguida</v>
      </c>
      <c r="E122" s="41" t="s">
        <v>637</v>
      </c>
      <c r="F122" s="103"/>
      <c r="G122" s="95">
        <f t="shared" si="12"/>
        <v>46152</v>
      </c>
      <c r="H122" s="44">
        <f t="shared" si="11"/>
        <v>106</v>
      </c>
      <c r="I122" s="41" t="s">
        <v>325</v>
      </c>
      <c r="J122" s="41" t="s">
        <v>636</v>
      </c>
      <c r="K122" s="260"/>
      <c r="L122" s="41"/>
      <c r="M122" s="41" t="s">
        <v>227</v>
      </c>
      <c r="N122" s="42"/>
    </row>
    <row r="123" spans="1:14">
      <c r="A123" s="42">
        <v>3</v>
      </c>
      <c r="B123" s="42">
        <v>2026</v>
      </c>
      <c r="C123" s="42">
        <v>108</v>
      </c>
      <c r="D123" s="64" t="str">
        <f t="shared" si="18"/>
        <v>A primeira viagem missionária de Paulo</v>
      </c>
      <c r="E123" s="41" t="s">
        <v>638</v>
      </c>
      <c r="F123" s="103"/>
      <c r="G123" s="95">
        <f t="shared" si="12"/>
        <v>46159</v>
      </c>
      <c r="H123" s="44">
        <f t="shared" si="11"/>
        <v>107</v>
      </c>
      <c r="I123" s="41" t="s">
        <v>328</v>
      </c>
      <c r="J123" s="41" t="s">
        <v>637</v>
      </c>
      <c r="K123" s="258"/>
      <c r="L123" s="41"/>
      <c r="M123" s="41" t="s">
        <v>227</v>
      </c>
      <c r="N123" s="42"/>
    </row>
    <row r="124" spans="1:14">
      <c r="A124" s="42">
        <v>3</v>
      </c>
      <c r="B124" s="42">
        <v>2026</v>
      </c>
      <c r="C124" s="42">
        <v>109</v>
      </c>
      <c r="D124" s="64" t="str">
        <f t="shared" si="18"/>
        <v>O Concílio de Jerusalém</v>
      </c>
      <c r="E124" s="41" t="s">
        <v>640</v>
      </c>
      <c r="F124" s="103"/>
      <c r="G124" s="95">
        <f t="shared" si="12"/>
        <v>46166</v>
      </c>
      <c r="H124" s="44">
        <f t="shared" si="11"/>
        <v>108</v>
      </c>
      <c r="I124" s="41" t="s">
        <v>332</v>
      </c>
      <c r="J124" s="41" t="s">
        <v>638</v>
      </c>
      <c r="K124" s="257" t="s">
        <v>639</v>
      </c>
      <c r="L124" s="41"/>
      <c r="M124" s="41" t="s">
        <v>227</v>
      </c>
      <c r="N124" s="42"/>
    </row>
    <row r="125" spans="1:14">
      <c r="A125" s="42">
        <v>3</v>
      </c>
      <c r="B125" s="42">
        <v>2026</v>
      </c>
      <c r="C125" s="42">
        <v>110</v>
      </c>
      <c r="D125" s="64" t="str">
        <f t="shared" si="18"/>
        <v>A segunda viagem missionária de Paulo</v>
      </c>
      <c r="E125" s="41" t="s">
        <v>641</v>
      </c>
      <c r="F125" s="103"/>
      <c r="G125" s="95">
        <f t="shared" si="12"/>
        <v>46173</v>
      </c>
      <c r="H125" s="44">
        <f t="shared" si="11"/>
        <v>109</v>
      </c>
      <c r="I125" s="41" t="s">
        <v>335</v>
      </c>
      <c r="J125" s="41" t="s">
        <v>640</v>
      </c>
      <c r="K125" s="260"/>
      <c r="L125" s="41"/>
      <c r="M125" s="41" t="s">
        <v>227</v>
      </c>
      <c r="N125" s="42"/>
    </row>
    <row r="126" spans="1:14">
      <c r="A126" s="42">
        <v>3</v>
      </c>
      <c r="B126" s="42">
        <v>2026</v>
      </c>
      <c r="C126" s="42">
        <v>111</v>
      </c>
      <c r="D126" s="64" t="str">
        <f t="shared" si="18"/>
        <v>A igreja é unida pela esperança</v>
      </c>
      <c r="E126" s="41" t="s">
        <v>642</v>
      </c>
      <c r="F126" s="103"/>
      <c r="G126" s="95">
        <f t="shared" si="12"/>
        <v>46180</v>
      </c>
      <c r="H126" s="44">
        <f t="shared" si="11"/>
        <v>110</v>
      </c>
      <c r="I126" s="41" t="s">
        <v>338</v>
      </c>
      <c r="J126" s="41" t="s">
        <v>641</v>
      </c>
      <c r="K126" s="260"/>
      <c r="L126" s="41"/>
      <c r="M126" s="41" t="s">
        <v>227</v>
      </c>
      <c r="N126" s="42"/>
    </row>
    <row r="127" spans="1:14">
      <c r="A127" s="42">
        <v>3</v>
      </c>
      <c r="B127" s="42">
        <v>2026</v>
      </c>
      <c r="C127" s="42">
        <v>112</v>
      </c>
      <c r="D127" s="64" t="str">
        <f t="shared" si="18"/>
        <v>A igreja é unida pela esperança</v>
      </c>
      <c r="E127" s="41" t="s">
        <v>644</v>
      </c>
      <c r="F127" s="103"/>
      <c r="G127" s="95">
        <f t="shared" si="12"/>
        <v>46187</v>
      </c>
      <c r="H127" s="44">
        <f t="shared" si="11"/>
        <v>111</v>
      </c>
      <c r="I127" s="48" t="s">
        <v>341</v>
      </c>
      <c r="J127" s="41" t="s">
        <v>642</v>
      </c>
      <c r="K127" s="260"/>
      <c r="L127" s="41"/>
      <c r="M127" s="41" t="s">
        <v>227</v>
      </c>
      <c r="N127" s="42" t="s">
        <v>643</v>
      </c>
    </row>
    <row r="128" spans="1:14">
      <c r="A128" s="42">
        <v>3</v>
      </c>
      <c r="B128" s="42">
        <v>2026</v>
      </c>
      <c r="C128" s="42">
        <v>113</v>
      </c>
      <c r="D128" s="64" t="str">
        <f t="shared" si="18"/>
        <v>A terceira viagem missionária de Paulo</v>
      </c>
      <c r="E128" s="41" t="s">
        <v>645</v>
      </c>
      <c r="F128" s="103"/>
      <c r="G128" s="95">
        <f t="shared" si="12"/>
        <v>46194</v>
      </c>
      <c r="H128" s="44">
        <f t="shared" si="11"/>
        <v>112</v>
      </c>
      <c r="I128" s="48" t="s">
        <v>341</v>
      </c>
      <c r="J128" s="41" t="s">
        <v>644</v>
      </c>
      <c r="K128" s="260"/>
      <c r="L128" s="41"/>
      <c r="M128" s="41" t="s">
        <v>227</v>
      </c>
      <c r="N128" s="42"/>
    </row>
    <row r="129" spans="1:14">
      <c r="A129" s="42">
        <v>3</v>
      </c>
      <c r="B129" s="42">
        <v>2026</v>
      </c>
      <c r="C129" s="42">
        <v>114</v>
      </c>
      <c r="D129" s="64" t="str">
        <f t="shared" si="18"/>
        <v>A igreja é unida pelo Evangelho</v>
      </c>
      <c r="E129" s="41" t="s">
        <v>646</v>
      </c>
      <c r="F129" s="103"/>
      <c r="G129" s="95">
        <f t="shared" si="12"/>
        <v>46201</v>
      </c>
      <c r="H129" s="44">
        <f t="shared" si="11"/>
        <v>113</v>
      </c>
      <c r="I129" s="48" t="s">
        <v>344</v>
      </c>
      <c r="J129" s="41" t="s">
        <v>645</v>
      </c>
      <c r="K129" s="258"/>
      <c r="L129" s="41"/>
      <c r="M129" s="41" t="s">
        <v>227</v>
      </c>
      <c r="N129" s="42"/>
    </row>
    <row r="130" spans="1:14">
      <c r="A130" s="42">
        <v>3</v>
      </c>
      <c r="B130" s="42">
        <v>2026</v>
      </c>
      <c r="C130" s="42">
        <v>115</v>
      </c>
      <c r="D130" s="64" t="str">
        <f t="shared" si="18"/>
        <v>Correções e instruções</v>
      </c>
      <c r="E130" s="41" t="s">
        <v>647</v>
      </c>
      <c r="F130" s="103"/>
      <c r="G130" s="95">
        <f t="shared" si="12"/>
        <v>46208</v>
      </c>
      <c r="H130" s="44">
        <f t="shared" ref="H130:H155" si="21">+C129</f>
        <v>114</v>
      </c>
      <c r="I130" s="48" t="s">
        <v>351</v>
      </c>
      <c r="J130" s="41" t="s">
        <v>646</v>
      </c>
      <c r="K130" s="257" t="s">
        <v>350</v>
      </c>
      <c r="L130" s="41"/>
      <c r="M130" s="41" t="s">
        <v>227</v>
      </c>
      <c r="N130" s="42"/>
    </row>
    <row r="131" spans="1:14">
      <c r="A131" s="42">
        <v>3</v>
      </c>
      <c r="B131" s="42">
        <v>2026</v>
      </c>
      <c r="C131" s="42">
        <v>116</v>
      </c>
      <c r="D131" s="64" t="str">
        <f t="shared" si="18"/>
        <v>O poder do Espírito para nos transformar</v>
      </c>
      <c r="E131" s="41" t="s">
        <v>648</v>
      </c>
      <c r="F131" s="103"/>
      <c r="G131" s="95">
        <f t="shared" si="12"/>
        <v>46215</v>
      </c>
      <c r="H131" s="44">
        <f t="shared" si="21"/>
        <v>115</v>
      </c>
      <c r="I131" s="48" t="s">
        <v>354</v>
      </c>
      <c r="J131" s="41" t="s">
        <v>647</v>
      </c>
      <c r="K131" s="260"/>
      <c r="L131" s="41"/>
      <c r="M131" s="41" t="s">
        <v>227</v>
      </c>
      <c r="N131" s="42"/>
    </row>
    <row r="132" spans="1:14">
      <c r="A132" s="42">
        <v>3</v>
      </c>
      <c r="B132" s="42">
        <v>2026</v>
      </c>
      <c r="C132" s="42">
        <v>117</v>
      </c>
      <c r="D132" s="64" t="str">
        <f t="shared" si="18"/>
        <v>Guardando o evangelho</v>
      </c>
      <c r="E132" s="41" t="s">
        <v>649</v>
      </c>
      <c r="F132" s="103"/>
      <c r="G132" s="95">
        <f t="shared" si="12"/>
        <v>46222</v>
      </c>
      <c r="H132" s="44">
        <f t="shared" si="21"/>
        <v>116</v>
      </c>
      <c r="I132" s="48" t="s">
        <v>360</v>
      </c>
      <c r="J132" s="41" t="s">
        <v>648</v>
      </c>
      <c r="K132" s="260"/>
      <c r="L132" s="41"/>
      <c r="M132" s="41" t="s">
        <v>227</v>
      </c>
      <c r="N132" s="42"/>
    </row>
    <row r="133" spans="1:14">
      <c r="A133" s="42">
        <v>3</v>
      </c>
      <c r="B133" s="42">
        <v>2026</v>
      </c>
      <c r="C133" s="42">
        <v>118</v>
      </c>
      <c r="D133" s="64" t="str">
        <f t="shared" si="18"/>
        <v>Confiando no evangelho - perdição e justiça</v>
      </c>
      <c r="E133" s="41" t="s">
        <v>650</v>
      </c>
      <c r="F133" s="103"/>
      <c r="G133" s="95">
        <f t="shared" ref="G133:G158" si="22">+G132+7</f>
        <v>46229</v>
      </c>
      <c r="H133" s="44">
        <f t="shared" si="21"/>
        <v>117</v>
      </c>
      <c r="I133" s="48" t="s">
        <v>363</v>
      </c>
      <c r="J133" s="41" t="s">
        <v>649</v>
      </c>
      <c r="K133" s="260"/>
      <c r="L133" s="41"/>
      <c r="M133" s="41" t="s">
        <v>227</v>
      </c>
      <c r="N133" s="42"/>
    </row>
    <row r="134" spans="1:14">
      <c r="A134" s="42">
        <v>3</v>
      </c>
      <c r="B134" s="42">
        <v>2026</v>
      </c>
      <c r="C134" s="42">
        <v>119</v>
      </c>
      <c r="D134" s="64" t="str">
        <f t="shared" si="18"/>
        <v>Confiando no Evangelho - santificação (6 a 8) e escatologia (9 a 11)</v>
      </c>
      <c r="E134" s="41" t="s">
        <v>652</v>
      </c>
      <c r="F134" s="103"/>
      <c r="G134" s="95">
        <f t="shared" si="22"/>
        <v>46236</v>
      </c>
      <c r="H134" s="44">
        <f t="shared" si="21"/>
        <v>118</v>
      </c>
      <c r="I134" s="48" t="s">
        <v>366</v>
      </c>
      <c r="J134" s="41" t="s">
        <v>650</v>
      </c>
      <c r="K134" s="260"/>
      <c r="L134" s="41"/>
      <c r="M134" s="41" t="s">
        <v>227</v>
      </c>
      <c r="N134" s="42" t="s">
        <v>651</v>
      </c>
    </row>
    <row r="135" spans="1:14">
      <c r="A135" s="42">
        <v>3</v>
      </c>
      <c r="B135" s="42">
        <v>2026</v>
      </c>
      <c r="C135" s="42">
        <v>120</v>
      </c>
      <c r="D135" s="64" t="str">
        <f t="shared" si="18"/>
        <v>Confiando no Evangelho - orientações práticas para a vida da igreja</v>
      </c>
      <c r="E135" s="41" t="s">
        <v>654</v>
      </c>
      <c r="F135" s="103"/>
      <c r="G135" s="95">
        <f t="shared" si="22"/>
        <v>46243</v>
      </c>
      <c r="H135" s="44">
        <f t="shared" si="21"/>
        <v>119</v>
      </c>
      <c r="I135" s="48" t="s">
        <v>369</v>
      </c>
      <c r="J135" s="41" t="s">
        <v>652</v>
      </c>
      <c r="K135" s="260"/>
      <c r="L135" s="41"/>
      <c r="M135" s="41" t="s">
        <v>227</v>
      </c>
      <c r="N135" s="42" t="s">
        <v>653</v>
      </c>
    </row>
    <row r="136" spans="1:14">
      <c r="A136" s="42">
        <v>3</v>
      </c>
      <c r="B136" s="42">
        <v>2026</v>
      </c>
      <c r="C136" s="42">
        <v>121</v>
      </c>
      <c r="D136" s="64" t="str">
        <f t="shared" si="18"/>
        <v>Pregando em todas as circunstâncias</v>
      </c>
      <c r="E136" s="41" t="s">
        <v>655</v>
      </c>
      <c r="F136" s="103"/>
      <c r="G136" s="95">
        <f t="shared" si="22"/>
        <v>46250</v>
      </c>
      <c r="H136" s="44">
        <f t="shared" si="21"/>
        <v>120</v>
      </c>
      <c r="I136" s="48" t="s">
        <v>372</v>
      </c>
      <c r="J136" s="41" t="s">
        <v>654</v>
      </c>
      <c r="K136" s="260"/>
      <c r="L136" s="41"/>
      <c r="M136" s="41" t="s">
        <v>227</v>
      </c>
      <c r="N136" s="42"/>
    </row>
    <row r="137" spans="1:14">
      <c r="A137" s="42">
        <v>3</v>
      </c>
      <c r="B137" s="42">
        <v>2026</v>
      </c>
      <c r="C137" s="42">
        <v>122</v>
      </c>
      <c r="D137" s="64" t="str">
        <f t="shared" si="18"/>
        <v>A viagem de Paulo a Roma</v>
      </c>
      <c r="E137" s="41" t="s">
        <v>656</v>
      </c>
      <c r="F137" s="103"/>
      <c r="G137" s="95">
        <f t="shared" si="22"/>
        <v>46257</v>
      </c>
      <c r="H137" s="44">
        <f t="shared" si="21"/>
        <v>121</v>
      </c>
      <c r="I137" s="48" t="s">
        <v>375</v>
      </c>
      <c r="J137" s="41" t="s">
        <v>655</v>
      </c>
      <c r="K137" s="260"/>
      <c r="L137" s="41"/>
      <c r="M137" s="41" t="s">
        <v>227</v>
      </c>
      <c r="N137" s="42"/>
    </row>
    <row r="138" spans="1:14">
      <c r="A138" s="42">
        <v>3</v>
      </c>
      <c r="B138" s="42">
        <v>2026</v>
      </c>
      <c r="C138" s="42">
        <v>123</v>
      </c>
      <c r="D138" s="64" t="str">
        <f t="shared" si="18"/>
        <v>Perseguindo o alvo</v>
      </c>
      <c r="E138" s="41" t="s">
        <v>657</v>
      </c>
      <c r="F138" s="103"/>
      <c r="G138" s="95">
        <f t="shared" si="22"/>
        <v>46264</v>
      </c>
      <c r="H138" s="44">
        <f t="shared" si="21"/>
        <v>122</v>
      </c>
      <c r="I138" s="48" t="s">
        <v>378</v>
      </c>
      <c r="J138" s="41" t="s">
        <v>656</v>
      </c>
      <c r="K138" s="258"/>
      <c r="L138" s="41"/>
      <c r="M138" s="41" t="s">
        <v>227</v>
      </c>
      <c r="N138" s="42"/>
    </row>
    <row r="139" spans="1:14">
      <c r="A139" s="42">
        <v>3</v>
      </c>
      <c r="B139" s="42">
        <v>2026</v>
      </c>
      <c r="C139" s="42">
        <v>124</v>
      </c>
      <c r="D139" s="64" t="str">
        <f t="shared" si="18"/>
        <v>Experimentando uma nova identidade no evangelho de Jesus</v>
      </c>
      <c r="E139" s="41" t="s">
        <v>660</v>
      </c>
      <c r="F139" s="103"/>
      <c r="G139" s="95">
        <f t="shared" si="22"/>
        <v>46271</v>
      </c>
      <c r="H139" s="44">
        <f t="shared" si="21"/>
        <v>123</v>
      </c>
      <c r="I139" s="48" t="s">
        <v>381</v>
      </c>
      <c r="J139" s="41" t="s">
        <v>657</v>
      </c>
      <c r="K139" s="257" t="s">
        <v>658</v>
      </c>
      <c r="L139" s="41"/>
      <c r="M139" s="41" t="s">
        <v>227</v>
      </c>
      <c r="N139" s="42" t="s">
        <v>659</v>
      </c>
    </row>
    <row r="140" spans="1:14">
      <c r="A140" s="42">
        <v>3</v>
      </c>
      <c r="B140" s="42">
        <v>2026</v>
      </c>
      <c r="C140" s="42">
        <v>125</v>
      </c>
      <c r="D140" s="64" t="str">
        <f t="shared" si="18"/>
        <v>Vivendo na graça</v>
      </c>
      <c r="E140" s="41" t="s">
        <v>657</v>
      </c>
      <c r="F140" s="103"/>
      <c r="G140" s="95">
        <f t="shared" si="22"/>
        <v>46278</v>
      </c>
      <c r="H140" s="44">
        <f t="shared" si="21"/>
        <v>124</v>
      </c>
      <c r="I140" s="48" t="s">
        <v>384</v>
      </c>
      <c r="J140" s="41" t="s">
        <v>660</v>
      </c>
      <c r="K140" s="260"/>
      <c r="L140" s="41"/>
      <c r="M140" s="41" t="s">
        <v>227</v>
      </c>
      <c r="N140" s="42" t="s">
        <v>661</v>
      </c>
    </row>
    <row r="141" spans="1:14">
      <c r="A141" s="42">
        <v>3</v>
      </c>
      <c r="B141" s="42">
        <v>2026</v>
      </c>
      <c r="C141" s="42">
        <v>126</v>
      </c>
      <c r="D141" s="64" t="str">
        <f t="shared" si="18"/>
        <v>Quebrando barreiras</v>
      </c>
      <c r="E141" s="41" t="s">
        <v>662</v>
      </c>
      <c r="F141" s="103"/>
      <c r="G141" s="95">
        <f t="shared" si="22"/>
        <v>46285</v>
      </c>
      <c r="H141" s="44">
        <f t="shared" si="21"/>
        <v>125</v>
      </c>
      <c r="I141" s="48" t="s">
        <v>387</v>
      </c>
      <c r="J141" s="41" t="s">
        <v>657</v>
      </c>
      <c r="K141" s="260"/>
      <c r="L141" s="41"/>
      <c r="M141" s="41" t="s">
        <v>227</v>
      </c>
      <c r="N141" s="42"/>
    </row>
    <row r="142" spans="1:14">
      <c r="A142" s="42">
        <v>3</v>
      </c>
      <c r="B142" s="42">
        <v>2026</v>
      </c>
      <c r="C142" s="42">
        <v>127</v>
      </c>
      <c r="D142" s="64" t="str">
        <f t="shared" si="18"/>
        <v>Cartas pastorais</v>
      </c>
      <c r="E142" s="41" t="s">
        <v>663</v>
      </c>
      <c r="F142" s="103"/>
      <c r="G142" s="95">
        <f t="shared" si="22"/>
        <v>46292</v>
      </c>
      <c r="H142" s="44">
        <f t="shared" si="21"/>
        <v>126</v>
      </c>
      <c r="I142" s="48" t="s">
        <v>390</v>
      </c>
      <c r="J142" s="41" t="s">
        <v>662</v>
      </c>
      <c r="K142" s="258"/>
      <c r="L142" s="41"/>
      <c r="M142" s="41" t="s">
        <v>227</v>
      </c>
      <c r="N142" s="42"/>
    </row>
    <row r="143" spans="1:14">
      <c r="A143" s="42">
        <v>3</v>
      </c>
      <c r="B143" s="42">
        <v>2026</v>
      </c>
      <c r="C143" s="42">
        <v>128</v>
      </c>
      <c r="D143" s="64" t="str">
        <f t="shared" si="18"/>
        <v>Cartas pastorais</v>
      </c>
      <c r="E143" s="41" t="s">
        <v>664</v>
      </c>
      <c r="F143" s="103"/>
      <c r="G143" s="95">
        <f t="shared" si="22"/>
        <v>46299</v>
      </c>
      <c r="H143" s="44">
        <f t="shared" si="21"/>
        <v>127</v>
      </c>
      <c r="I143" s="48" t="s">
        <v>393</v>
      </c>
      <c r="J143" s="41" t="s">
        <v>663</v>
      </c>
      <c r="K143" s="257" t="s">
        <v>393</v>
      </c>
      <c r="L143" s="41"/>
      <c r="M143" s="41" t="s">
        <v>227</v>
      </c>
      <c r="N143" s="42"/>
    </row>
    <row r="144" spans="1:14">
      <c r="A144" s="42">
        <v>3</v>
      </c>
      <c r="B144" s="42">
        <v>2026</v>
      </c>
      <c r="C144" s="42">
        <v>129</v>
      </c>
      <c r="D144" s="64" t="str">
        <f t="shared" si="18"/>
        <v>Confiando em tempos difíceis</v>
      </c>
      <c r="E144" s="41" t="s">
        <v>666</v>
      </c>
      <c r="F144" s="103"/>
      <c r="G144" s="95">
        <f t="shared" si="22"/>
        <v>46306</v>
      </c>
      <c r="H144" s="44">
        <f t="shared" si="21"/>
        <v>128</v>
      </c>
      <c r="I144" s="48" t="s">
        <v>393</v>
      </c>
      <c r="J144" s="41" t="s">
        <v>664</v>
      </c>
      <c r="K144" s="258"/>
      <c r="L144" s="41"/>
      <c r="M144" s="41" t="s">
        <v>227</v>
      </c>
      <c r="N144" s="42" t="s">
        <v>665</v>
      </c>
    </row>
    <row r="145" spans="1:14">
      <c r="A145" s="42">
        <v>3</v>
      </c>
      <c r="B145" s="42">
        <v>2026</v>
      </c>
      <c r="C145" s="42">
        <v>130</v>
      </c>
      <c r="D145" s="64" t="str">
        <f t="shared" si="18"/>
        <v>Buscando uma vida com Deus</v>
      </c>
      <c r="E145" s="41" t="s">
        <v>668</v>
      </c>
      <c r="F145" s="103"/>
      <c r="G145" s="95">
        <f t="shared" si="22"/>
        <v>46313</v>
      </c>
      <c r="H145" s="44">
        <f t="shared" si="21"/>
        <v>129</v>
      </c>
      <c r="I145" s="48" t="s">
        <v>400</v>
      </c>
      <c r="J145" s="41" t="s">
        <v>666</v>
      </c>
      <c r="K145" s="257" t="s">
        <v>667</v>
      </c>
      <c r="L145" s="41"/>
      <c r="M145" s="41" t="s">
        <v>227</v>
      </c>
      <c r="N145" s="42"/>
    </row>
    <row r="146" spans="1:14">
      <c r="A146" s="42">
        <v>3</v>
      </c>
      <c r="B146" s="42">
        <v>2026</v>
      </c>
      <c r="C146" s="42">
        <v>131</v>
      </c>
      <c r="D146" s="64" t="str">
        <f t="shared" si="18"/>
        <v>A igreja é enviada para proclamar a Jesus</v>
      </c>
      <c r="E146" s="41" t="s">
        <v>669</v>
      </c>
      <c r="F146" s="103"/>
      <c r="G146" s="95">
        <f t="shared" si="22"/>
        <v>46320</v>
      </c>
      <c r="H146" s="44">
        <f t="shared" si="21"/>
        <v>130</v>
      </c>
      <c r="I146" s="49" t="s">
        <v>403</v>
      </c>
      <c r="J146" s="41" t="s">
        <v>668</v>
      </c>
      <c r="K146" s="260"/>
      <c r="L146" s="41"/>
      <c r="M146" s="41" t="s">
        <v>227</v>
      </c>
      <c r="N146" s="42"/>
    </row>
    <row r="147" spans="1:14">
      <c r="A147" s="42">
        <v>3</v>
      </c>
      <c r="B147" s="42">
        <v>2026</v>
      </c>
      <c r="C147" s="42">
        <v>132</v>
      </c>
      <c r="D147" s="64" t="str">
        <f t="shared" si="18"/>
        <v>As marcas daqueles que têm comunhão com Deus - 1 João
Não seja hospitaleiro com aqueles que rejeitam a verdade - 2 João
Seja hospitaleiro com aqueles que proclamam a verdade - 3 João</v>
      </c>
      <c r="E147" s="41" t="s">
        <v>670</v>
      </c>
      <c r="F147" s="103"/>
      <c r="G147" s="95">
        <f t="shared" si="22"/>
        <v>46327</v>
      </c>
      <c r="H147" s="44">
        <f t="shared" si="21"/>
        <v>131</v>
      </c>
      <c r="I147" s="48" t="s">
        <v>406</v>
      </c>
      <c r="J147" s="41" t="s">
        <v>669</v>
      </c>
      <c r="K147" s="260"/>
      <c r="L147" s="41"/>
      <c r="M147" s="41" t="s">
        <v>227</v>
      </c>
      <c r="N147" s="42"/>
    </row>
    <row r="148" spans="1:14" ht="15.75" customHeight="1">
      <c r="A148" s="42">
        <v>3</v>
      </c>
      <c r="B148" s="42">
        <v>2026</v>
      </c>
      <c r="C148" s="42">
        <v>133</v>
      </c>
      <c r="D148" s="64" t="str">
        <f t="shared" si="18"/>
        <v>Cristo e os sete candeeiros (Ap 1-3)</v>
      </c>
      <c r="E148" s="41" t="s">
        <v>672</v>
      </c>
      <c r="F148" s="103"/>
      <c r="G148" s="95">
        <f t="shared" si="22"/>
        <v>46334</v>
      </c>
      <c r="H148" s="44">
        <f t="shared" si="21"/>
        <v>132</v>
      </c>
      <c r="I148" s="48" t="s">
        <v>412</v>
      </c>
      <c r="J148" s="41" t="s">
        <v>670</v>
      </c>
      <c r="K148" s="258"/>
      <c r="L148" s="41"/>
      <c r="M148" s="41" t="s">
        <v>227</v>
      </c>
      <c r="N148" s="42"/>
    </row>
    <row r="149" spans="1:14">
      <c r="A149" s="42">
        <v>3</v>
      </c>
      <c r="B149" s="42">
        <v>2026</v>
      </c>
      <c r="C149" s="42">
        <v>134</v>
      </c>
      <c r="D149" s="64" t="str">
        <f t="shared" si="18"/>
        <v>O Cordeiro e os sete selos (Ap 4-7)</v>
      </c>
      <c r="E149" s="41" t="s">
        <v>675</v>
      </c>
      <c r="F149" s="103"/>
      <c r="G149" s="95">
        <f t="shared" si="22"/>
        <v>46341</v>
      </c>
      <c r="H149" s="44">
        <f t="shared" si="21"/>
        <v>133</v>
      </c>
      <c r="I149" s="41" t="s">
        <v>671</v>
      </c>
      <c r="J149" s="41" t="s">
        <v>672</v>
      </c>
      <c r="K149" s="257" t="s">
        <v>673</v>
      </c>
      <c r="L149" s="41"/>
      <c r="M149" s="41" t="s">
        <v>227</v>
      </c>
      <c r="N149" s="42"/>
    </row>
    <row r="150" spans="1:14">
      <c r="A150" s="42">
        <v>3</v>
      </c>
      <c r="B150" s="42">
        <v>2026</v>
      </c>
      <c r="C150" s="42">
        <v>135</v>
      </c>
      <c r="D150" s="64" t="str">
        <f t="shared" si="18"/>
        <v>As sete trombetas (Ap 8-11)</v>
      </c>
      <c r="E150" s="41" t="s">
        <v>677</v>
      </c>
      <c r="F150" s="103"/>
      <c r="G150" s="95">
        <f t="shared" si="22"/>
        <v>46348</v>
      </c>
      <c r="H150" s="44">
        <f t="shared" si="21"/>
        <v>134</v>
      </c>
      <c r="I150" s="41" t="s">
        <v>674</v>
      </c>
      <c r="J150" s="41" t="s">
        <v>675</v>
      </c>
      <c r="K150" s="260"/>
      <c r="L150" s="41"/>
      <c r="M150" s="41" t="s">
        <v>227</v>
      </c>
      <c r="N150" s="42"/>
    </row>
    <row r="151" spans="1:14">
      <c r="A151" s="42">
        <v>3</v>
      </c>
      <c r="B151" s="42">
        <v>2026</v>
      </c>
      <c r="C151" s="42">
        <v>136</v>
      </c>
      <c r="D151" s="64" t="str">
        <f t="shared" si="18"/>
        <v>O dragão e as sete vozes (Ap 12-14)</v>
      </c>
      <c r="E151" s="41" t="s">
        <v>679</v>
      </c>
      <c r="F151" s="103"/>
      <c r="G151" s="95">
        <f t="shared" si="22"/>
        <v>46355</v>
      </c>
      <c r="H151" s="44">
        <f t="shared" si="21"/>
        <v>135</v>
      </c>
      <c r="I151" s="41" t="s">
        <v>676</v>
      </c>
      <c r="J151" s="41" t="s">
        <v>677</v>
      </c>
      <c r="K151" s="260"/>
      <c r="L151" s="41"/>
      <c r="M151" s="41" t="s">
        <v>227</v>
      </c>
      <c r="N151" s="42"/>
    </row>
    <row r="152" spans="1:14">
      <c r="A152" s="42">
        <v>3</v>
      </c>
      <c r="B152" s="42">
        <v>2026</v>
      </c>
      <c r="C152" s="42">
        <v>137</v>
      </c>
      <c r="D152" s="64" t="str">
        <f t="shared" si="18"/>
        <v xml:space="preserve">As sete taças (Ap 15-16) </v>
      </c>
      <c r="E152" s="41" t="s">
        <v>681</v>
      </c>
      <c r="F152" s="103"/>
      <c r="G152" s="95">
        <f t="shared" si="22"/>
        <v>46362</v>
      </c>
      <c r="H152" s="44">
        <f t="shared" si="21"/>
        <v>136</v>
      </c>
      <c r="I152" s="41" t="s">
        <v>678</v>
      </c>
      <c r="J152" s="41" t="s">
        <v>679</v>
      </c>
      <c r="K152" s="260"/>
      <c r="L152" s="41"/>
      <c r="M152" s="41" t="s">
        <v>227</v>
      </c>
      <c r="N152" s="42"/>
    </row>
    <row r="153" spans="1:14">
      <c r="A153" s="42">
        <v>3</v>
      </c>
      <c r="B153" s="42">
        <v>2026</v>
      </c>
      <c r="C153" s="42">
        <v>138</v>
      </c>
      <c r="D153" s="64" t="str">
        <f t="shared" si="18"/>
        <v>A destruição dos inimigos (Ap 17-19)</v>
      </c>
      <c r="E153" s="41" t="s">
        <v>683</v>
      </c>
      <c r="F153" s="103"/>
      <c r="G153" s="95">
        <f t="shared" si="22"/>
        <v>46369</v>
      </c>
      <c r="H153" s="44">
        <f t="shared" si="21"/>
        <v>137</v>
      </c>
      <c r="I153" s="41" t="s">
        <v>680</v>
      </c>
      <c r="J153" s="41" t="s">
        <v>681</v>
      </c>
      <c r="K153" s="260"/>
      <c r="L153" s="41"/>
      <c r="M153" s="41" t="s">
        <v>227</v>
      </c>
      <c r="N153" s="42"/>
    </row>
    <row r="154" spans="1:14">
      <c r="A154" s="42">
        <v>3</v>
      </c>
      <c r="B154" s="42">
        <v>2026</v>
      </c>
      <c r="C154" s="42">
        <v>139</v>
      </c>
      <c r="D154" s="64" t="str">
        <f t="shared" si="18"/>
        <v>As visões da consumação (Ap 20-22)</v>
      </c>
      <c r="E154" s="41" t="s">
        <v>685</v>
      </c>
      <c r="F154" s="103"/>
      <c r="G154" s="95">
        <f t="shared" si="22"/>
        <v>46376</v>
      </c>
      <c r="H154" s="44">
        <f t="shared" si="21"/>
        <v>138</v>
      </c>
      <c r="I154" s="41" t="s">
        <v>682</v>
      </c>
      <c r="J154" s="41" t="s">
        <v>683</v>
      </c>
      <c r="K154" s="260"/>
      <c r="L154" s="41"/>
      <c r="M154" s="41" t="s">
        <v>227</v>
      </c>
      <c r="N154" s="42"/>
    </row>
    <row r="155" spans="1:14">
      <c r="A155" s="42">
        <v>3</v>
      </c>
      <c r="B155" s="42">
        <v>2026</v>
      </c>
      <c r="C155" s="42">
        <v>140</v>
      </c>
      <c r="D155" s="64" t="s">
        <v>574</v>
      </c>
      <c r="E155" s="41"/>
      <c r="F155" s="103"/>
      <c r="G155" s="95">
        <f t="shared" si="22"/>
        <v>46383</v>
      </c>
      <c r="H155" s="44">
        <f t="shared" si="21"/>
        <v>139</v>
      </c>
      <c r="I155" s="41" t="s">
        <v>684</v>
      </c>
      <c r="J155" s="41" t="s">
        <v>685</v>
      </c>
      <c r="K155" s="258"/>
      <c r="L155" s="41"/>
      <c r="M155" s="41" t="s">
        <v>227</v>
      </c>
      <c r="N155" s="42"/>
    </row>
    <row r="156" spans="1:14">
      <c r="A156" s="42">
        <v>3</v>
      </c>
      <c r="B156" s="42">
        <v>2026</v>
      </c>
      <c r="C156" s="42"/>
      <c r="D156" s="66" t="s">
        <v>427</v>
      </c>
      <c r="E156" s="42"/>
      <c r="F156" s="104"/>
      <c r="G156" s="95">
        <f t="shared" si="22"/>
        <v>46390</v>
      </c>
      <c r="H156" s="44"/>
      <c r="I156" s="3" t="s">
        <v>427</v>
      </c>
      <c r="J156" s="41"/>
      <c r="K156" s="41"/>
      <c r="L156" s="41"/>
      <c r="M156" s="42"/>
      <c r="N156" s="42"/>
    </row>
    <row r="157" spans="1:14">
      <c r="A157" s="42">
        <v>3</v>
      </c>
      <c r="B157" s="42">
        <v>2026</v>
      </c>
      <c r="C157" s="42"/>
      <c r="D157" s="66"/>
      <c r="E157" s="42"/>
      <c r="F157" s="104"/>
      <c r="G157" s="95">
        <f t="shared" si="22"/>
        <v>46397</v>
      </c>
      <c r="H157" s="44"/>
      <c r="I157" s="3" t="s">
        <v>429</v>
      </c>
      <c r="J157" s="41"/>
      <c r="K157" s="41"/>
      <c r="L157" s="41"/>
      <c r="M157" s="42"/>
      <c r="N157" s="42"/>
    </row>
    <row r="158" spans="1:14" ht="15" thickBot="1">
      <c r="A158" s="42">
        <v>3</v>
      </c>
      <c r="B158" s="42">
        <v>2026</v>
      </c>
      <c r="C158" s="42"/>
      <c r="D158" s="66"/>
      <c r="E158" s="42"/>
      <c r="F158" s="104"/>
      <c r="G158" s="96">
        <f t="shared" si="22"/>
        <v>46404</v>
      </c>
      <c r="H158" s="44"/>
      <c r="I158" s="3" t="s">
        <v>430</v>
      </c>
      <c r="J158" s="41"/>
      <c r="K158" s="41"/>
      <c r="L158" s="41"/>
      <c r="M158" s="42"/>
      <c r="N158" s="42"/>
    </row>
    <row r="159" spans="1:14">
      <c r="I159" s="47"/>
      <c r="J159" s="47"/>
      <c r="L159" s="47"/>
    </row>
  </sheetData>
  <mergeCells count="32">
    <mergeCell ref="K40:K43"/>
    <mergeCell ref="K22:K25"/>
    <mergeCell ref="K26:K31"/>
    <mergeCell ref="K32:K34"/>
    <mergeCell ref="K35:K37"/>
    <mergeCell ref="K38:K39"/>
    <mergeCell ref="A2:B2"/>
    <mergeCell ref="K3:K8"/>
    <mergeCell ref="K9:K12"/>
    <mergeCell ref="K13:K17"/>
    <mergeCell ref="K18:K21"/>
    <mergeCell ref="K96:K102"/>
    <mergeCell ref="K107:K115"/>
    <mergeCell ref="K46:K49"/>
    <mergeCell ref="K50:K52"/>
    <mergeCell ref="K44:K45"/>
    <mergeCell ref="D62:F62"/>
    <mergeCell ref="H62:J62"/>
    <mergeCell ref="K55:K59"/>
    <mergeCell ref="K149:K155"/>
    <mergeCell ref="K121:K123"/>
    <mergeCell ref="K124:K129"/>
    <mergeCell ref="K130:K138"/>
    <mergeCell ref="K139:K142"/>
    <mergeCell ref="K143:K144"/>
    <mergeCell ref="K145:K148"/>
    <mergeCell ref="K116:K119"/>
    <mergeCell ref="K65:K68"/>
    <mergeCell ref="K69:K74"/>
    <mergeCell ref="K75:K87"/>
    <mergeCell ref="K88:K92"/>
    <mergeCell ref="K93:K95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9683-1376-4B35-8F8E-E8C40CE8A8D5}">
  <dimension ref="A1:N159"/>
  <sheetViews>
    <sheetView showGridLines="0" zoomScale="110" zoomScaleNormal="110" workbookViewId="0">
      <pane xSplit="1" ySplit="2" topLeftCell="B99" activePane="bottomRight" state="frozen"/>
      <selection pane="bottomRight" activeCell="D1" sqref="D1"/>
      <selection pane="bottomLeft" activeCell="D1" sqref="D1"/>
      <selection pane="topRight" activeCell="D1" sqref="D1"/>
    </sheetView>
  </sheetViews>
  <sheetFormatPr defaultRowHeight="14.45"/>
  <cols>
    <col min="1" max="1" width="2" bestFit="1" customWidth="1"/>
    <col min="3" max="3" width="4" bestFit="1" customWidth="1"/>
    <col min="4" max="4" width="44.5703125" customWidth="1"/>
    <col min="5" max="5" width="29.5703125" customWidth="1"/>
    <col min="6" max="6" width="16.42578125" style="86" customWidth="1"/>
    <col min="7" max="7" width="20" customWidth="1"/>
    <col min="8" max="8" width="4" customWidth="1"/>
    <col min="9" max="9" width="66.42578125" bestFit="1" customWidth="1"/>
    <col min="10" max="10" width="24.42578125" customWidth="1"/>
    <col min="11" max="11" width="11.42578125" customWidth="1"/>
    <col min="12" max="12" width="23.5703125" customWidth="1"/>
    <col min="13" max="13" width="7.42578125" customWidth="1"/>
    <col min="14" max="14" width="45.85546875" bestFit="1" customWidth="1"/>
  </cols>
  <sheetData>
    <row r="1" spans="1:14" s="119" customFormat="1" ht="25.5" customHeight="1" thickBot="1">
      <c r="B1" s="119" t="s">
        <v>689</v>
      </c>
      <c r="F1" s="120"/>
    </row>
    <row r="2" spans="1:14" s="1" customFormat="1">
      <c r="A2" s="278" t="s">
        <v>432</v>
      </c>
      <c r="B2" s="278"/>
      <c r="C2" s="74" t="s">
        <v>433</v>
      </c>
      <c r="D2" s="76" t="s">
        <v>434</v>
      </c>
      <c r="E2" s="75" t="s">
        <v>437</v>
      </c>
      <c r="F2" s="74" t="s">
        <v>690</v>
      </c>
      <c r="G2" s="90" t="s">
        <v>435</v>
      </c>
      <c r="H2" s="77" t="s">
        <v>433</v>
      </c>
      <c r="I2" s="78" t="s">
        <v>436</v>
      </c>
      <c r="J2" s="78" t="s">
        <v>437</v>
      </c>
      <c r="K2" s="2" t="s">
        <v>438</v>
      </c>
      <c r="L2" s="2" t="s">
        <v>439</v>
      </c>
      <c r="M2" s="2" t="s">
        <v>6</v>
      </c>
      <c r="N2" s="2" t="s">
        <v>440</v>
      </c>
    </row>
    <row r="3" spans="1:14" hidden="1">
      <c r="A3" s="42">
        <v>1</v>
      </c>
      <c r="B3" s="42">
        <v>2024</v>
      </c>
      <c r="C3" s="57">
        <v>1</v>
      </c>
      <c r="D3" s="61" t="s">
        <v>441</v>
      </c>
      <c r="E3" s="57"/>
      <c r="F3" s="97"/>
      <c r="G3" s="91">
        <v>45298</v>
      </c>
      <c r="H3" s="67"/>
      <c r="I3" s="57" t="s">
        <v>442</v>
      </c>
      <c r="J3" s="59"/>
      <c r="K3" s="257" t="s">
        <v>443</v>
      </c>
      <c r="L3" s="2"/>
      <c r="M3" s="42" t="s">
        <v>11</v>
      </c>
      <c r="N3" s="42" t="s">
        <v>444</v>
      </c>
    </row>
    <row r="4" spans="1:14" hidden="1">
      <c r="A4" s="42">
        <v>1</v>
      </c>
      <c r="B4" s="42">
        <v>2024</v>
      </c>
      <c r="C4" s="57">
        <v>2</v>
      </c>
      <c r="D4" s="61" t="s">
        <v>445</v>
      </c>
      <c r="E4" s="57"/>
      <c r="F4" s="97"/>
      <c r="G4" s="91">
        <f>+G3+7</f>
        <v>45305</v>
      </c>
      <c r="H4" s="67"/>
      <c r="I4" s="57" t="s">
        <v>446</v>
      </c>
      <c r="J4" s="57" t="s">
        <v>447</v>
      </c>
      <c r="K4" s="260"/>
      <c r="L4" s="2"/>
      <c r="M4" s="42" t="s">
        <v>11</v>
      </c>
      <c r="N4" s="42" t="s">
        <v>444</v>
      </c>
    </row>
    <row r="5" spans="1:14" hidden="1">
      <c r="A5" s="42">
        <v>1</v>
      </c>
      <c r="B5" s="42">
        <v>2024</v>
      </c>
      <c r="C5" s="57">
        <v>3</v>
      </c>
      <c r="D5" s="61" t="s">
        <v>448</v>
      </c>
      <c r="E5" s="57"/>
      <c r="F5" s="97"/>
      <c r="G5" s="91">
        <f t="shared" ref="G5:G68" si="0">+G4+7</f>
        <v>45312</v>
      </c>
      <c r="H5" s="67"/>
      <c r="I5" s="57" t="s">
        <v>449</v>
      </c>
      <c r="J5" s="57" t="s">
        <v>450</v>
      </c>
      <c r="K5" s="260"/>
      <c r="L5" s="2"/>
      <c r="M5" s="42" t="s">
        <v>11</v>
      </c>
      <c r="N5" s="42"/>
    </row>
    <row r="6" spans="1:14" hidden="1">
      <c r="A6" s="42">
        <v>1</v>
      </c>
      <c r="B6" s="42">
        <v>2024</v>
      </c>
      <c r="C6" s="57">
        <v>4</v>
      </c>
      <c r="D6" s="61" t="s">
        <v>451</v>
      </c>
      <c r="E6" s="57"/>
      <c r="F6" s="97"/>
      <c r="G6" s="91">
        <f t="shared" si="0"/>
        <v>45319</v>
      </c>
      <c r="H6" s="67"/>
      <c r="I6" s="57" t="s">
        <v>452</v>
      </c>
      <c r="J6" s="57" t="s">
        <v>453</v>
      </c>
      <c r="K6" s="260"/>
      <c r="L6" s="2"/>
      <c r="M6" s="42" t="s">
        <v>11</v>
      </c>
      <c r="N6" s="42"/>
    </row>
    <row r="7" spans="1:14" hidden="1">
      <c r="A7" s="42">
        <v>1</v>
      </c>
      <c r="B7" s="42">
        <v>2024</v>
      </c>
      <c r="C7" s="57">
        <v>5</v>
      </c>
      <c r="D7" s="61" t="s">
        <v>454</v>
      </c>
      <c r="E7" s="57"/>
      <c r="F7" s="97"/>
      <c r="G7" s="91">
        <f t="shared" si="0"/>
        <v>45326</v>
      </c>
      <c r="H7" s="67"/>
      <c r="I7" s="57" t="s">
        <v>455</v>
      </c>
      <c r="J7" s="57" t="s">
        <v>456</v>
      </c>
      <c r="K7" s="260"/>
      <c r="L7" s="2"/>
      <c r="M7" s="42" t="s">
        <v>11</v>
      </c>
      <c r="N7" s="42"/>
    </row>
    <row r="8" spans="1:14" hidden="1">
      <c r="A8" s="42">
        <v>1</v>
      </c>
      <c r="B8" s="42">
        <v>2024</v>
      </c>
      <c r="C8" s="57">
        <v>1</v>
      </c>
      <c r="D8" s="61" t="s">
        <v>457</v>
      </c>
      <c r="E8" s="58" t="s">
        <v>462</v>
      </c>
      <c r="F8" s="98"/>
      <c r="G8" s="91">
        <f t="shared" si="0"/>
        <v>45333</v>
      </c>
      <c r="H8" s="67"/>
      <c r="I8" s="59" t="s">
        <v>458</v>
      </c>
      <c r="J8" s="57" t="s">
        <v>459</v>
      </c>
      <c r="K8" s="258"/>
      <c r="L8" s="2"/>
      <c r="M8" s="42" t="s">
        <v>11</v>
      </c>
      <c r="N8" s="42" t="s">
        <v>460</v>
      </c>
    </row>
    <row r="9" spans="1:14" hidden="1">
      <c r="A9" s="42">
        <v>1</v>
      </c>
      <c r="B9" s="42">
        <v>2024</v>
      </c>
      <c r="C9" s="57">
        <v>2</v>
      </c>
      <c r="D9" s="61" t="s">
        <v>461</v>
      </c>
      <c r="E9" s="57" t="s">
        <v>465</v>
      </c>
      <c r="F9" s="97"/>
      <c r="G9" s="91">
        <f t="shared" si="0"/>
        <v>45340</v>
      </c>
      <c r="H9" s="67">
        <f t="shared" ref="H9:J24" si="1">C8</f>
        <v>1</v>
      </c>
      <c r="I9" s="58" t="str">
        <f t="shared" si="1"/>
        <v>Criação</v>
      </c>
      <c r="J9" s="58" t="str">
        <f t="shared" si="1"/>
        <v>Gn 1-2</v>
      </c>
      <c r="K9" s="257" t="s">
        <v>457</v>
      </c>
      <c r="L9" s="41" t="s">
        <v>463</v>
      </c>
      <c r="M9" s="42" t="s">
        <v>11</v>
      </c>
      <c r="N9" s="42"/>
    </row>
    <row r="10" spans="1:14" hidden="1">
      <c r="A10" s="42">
        <v>1</v>
      </c>
      <c r="B10" s="42">
        <v>2024</v>
      </c>
      <c r="C10" s="57">
        <v>3</v>
      </c>
      <c r="D10" s="61" t="s">
        <v>464</v>
      </c>
      <c r="E10" s="58" t="s">
        <v>468</v>
      </c>
      <c r="F10" s="98"/>
      <c r="G10" s="91">
        <f t="shared" si="0"/>
        <v>45347</v>
      </c>
      <c r="H10" s="67">
        <f t="shared" si="1"/>
        <v>2</v>
      </c>
      <c r="I10" s="58" t="str">
        <f t="shared" si="1"/>
        <v>Queda</v>
      </c>
      <c r="J10" s="58" t="str">
        <f t="shared" si="1"/>
        <v>Gn 3-4</v>
      </c>
      <c r="K10" s="260"/>
      <c r="L10" s="42" t="s">
        <v>466</v>
      </c>
      <c r="M10" s="42" t="s">
        <v>11</v>
      </c>
      <c r="N10" s="42"/>
    </row>
    <row r="11" spans="1:14" hidden="1">
      <c r="A11" s="42">
        <v>1</v>
      </c>
      <c r="B11" s="42">
        <v>2024</v>
      </c>
      <c r="C11" s="57">
        <v>4</v>
      </c>
      <c r="D11" s="61" t="s">
        <v>467</v>
      </c>
      <c r="E11" s="58" t="s">
        <v>471</v>
      </c>
      <c r="F11" s="98"/>
      <c r="G11" s="91">
        <f t="shared" si="0"/>
        <v>45354</v>
      </c>
      <c r="H11" s="67">
        <f t="shared" si="1"/>
        <v>3</v>
      </c>
      <c r="I11" s="58" t="str">
        <f t="shared" si="1"/>
        <v xml:space="preserve">Dilúvio </v>
      </c>
      <c r="J11" s="58" t="str">
        <f t="shared" si="1"/>
        <v>Gn 6-9</v>
      </c>
      <c r="K11" s="260"/>
      <c r="L11" s="41" t="s">
        <v>469</v>
      </c>
      <c r="M11" s="42" t="s">
        <v>11</v>
      </c>
      <c r="N11" s="42"/>
    </row>
    <row r="12" spans="1:14" hidden="1">
      <c r="A12" s="42">
        <v>1</v>
      </c>
      <c r="B12" s="42">
        <v>2024</v>
      </c>
      <c r="C12" s="57">
        <v>5</v>
      </c>
      <c r="D12" s="61" t="s">
        <v>470</v>
      </c>
      <c r="E12" s="58" t="s">
        <v>474</v>
      </c>
      <c r="F12" s="98"/>
      <c r="G12" s="91">
        <f t="shared" si="0"/>
        <v>45361</v>
      </c>
      <c r="H12" s="67">
        <f t="shared" si="1"/>
        <v>4</v>
      </c>
      <c r="I12" s="58" t="str">
        <f t="shared" si="1"/>
        <v>Torre de Babel</v>
      </c>
      <c r="J12" s="58" t="str">
        <f t="shared" si="1"/>
        <v>Gn 11</v>
      </c>
      <c r="K12" s="258"/>
      <c r="L12" s="41" t="s">
        <v>472</v>
      </c>
      <c r="M12" s="42" t="s">
        <v>11</v>
      </c>
      <c r="N12" s="42"/>
    </row>
    <row r="13" spans="1:14" hidden="1">
      <c r="A13" s="42">
        <v>1</v>
      </c>
      <c r="B13" s="42">
        <v>2024</v>
      </c>
      <c r="C13" s="57">
        <v>6</v>
      </c>
      <c r="D13" s="61" t="s">
        <v>473</v>
      </c>
      <c r="E13" s="58" t="s">
        <v>476</v>
      </c>
      <c r="F13" s="98"/>
      <c r="G13" s="91">
        <f t="shared" si="0"/>
        <v>45368</v>
      </c>
      <c r="H13" s="67">
        <f t="shared" si="1"/>
        <v>5</v>
      </c>
      <c r="I13" s="58" t="str">
        <f t="shared" si="1"/>
        <v>Aliança com Abraão</v>
      </c>
      <c r="J13" s="58" t="str">
        <f t="shared" si="1"/>
        <v>Gn 12;15;17</v>
      </c>
      <c r="K13" s="257" t="s">
        <v>22</v>
      </c>
      <c r="L13" s="41"/>
      <c r="M13" s="42" t="s">
        <v>11</v>
      </c>
      <c r="N13" s="42"/>
    </row>
    <row r="14" spans="1:14" hidden="1">
      <c r="A14" s="42">
        <v>1</v>
      </c>
      <c r="B14" s="42">
        <v>2024</v>
      </c>
      <c r="C14" s="57"/>
      <c r="D14" s="63" t="s">
        <v>475</v>
      </c>
      <c r="E14" s="59"/>
      <c r="F14" s="99"/>
      <c r="G14" s="91">
        <f t="shared" si="0"/>
        <v>45375</v>
      </c>
      <c r="H14" s="67">
        <f t="shared" si="1"/>
        <v>6</v>
      </c>
      <c r="I14" s="58" t="str">
        <f t="shared" si="1"/>
        <v>O nascimento de Isaque</v>
      </c>
      <c r="J14" s="58" t="str">
        <f t="shared" si="1"/>
        <v>Gn 21-22; Hb 11.17-19</v>
      </c>
      <c r="K14" s="260"/>
      <c r="L14" s="41"/>
      <c r="M14" s="42" t="s">
        <v>11</v>
      </c>
      <c r="N14" s="42"/>
    </row>
    <row r="15" spans="1:14" hidden="1">
      <c r="A15" s="42">
        <v>1</v>
      </c>
      <c r="B15" s="42">
        <v>2024</v>
      </c>
      <c r="C15" s="57">
        <v>7</v>
      </c>
      <c r="D15" s="61" t="s">
        <v>477</v>
      </c>
      <c r="E15" s="58" t="s">
        <v>479</v>
      </c>
      <c r="F15" s="98"/>
      <c r="G15" s="92">
        <f t="shared" si="0"/>
        <v>45382</v>
      </c>
      <c r="H15" s="67">
        <f t="shared" si="1"/>
        <v>0</v>
      </c>
      <c r="I15" s="60" t="str">
        <f t="shared" si="1"/>
        <v>Domingo de Páscoa</v>
      </c>
      <c r="J15" s="60"/>
      <c r="K15" s="260"/>
      <c r="L15" s="3"/>
      <c r="M15" s="42" t="s">
        <v>11</v>
      </c>
      <c r="N15" s="42"/>
    </row>
    <row r="16" spans="1:14" hidden="1">
      <c r="A16" s="42">
        <v>1</v>
      </c>
      <c r="B16" s="42">
        <v>2024</v>
      </c>
      <c r="C16" s="57">
        <v>8</v>
      </c>
      <c r="D16" s="61" t="s">
        <v>478</v>
      </c>
      <c r="E16" s="58" t="s">
        <v>481</v>
      </c>
      <c r="F16" s="98"/>
      <c r="G16" s="91">
        <f t="shared" si="0"/>
        <v>45389</v>
      </c>
      <c r="H16" s="67">
        <f t="shared" si="1"/>
        <v>7</v>
      </c>
      <c r="I16" s="58" t="str">
        <f t="shared" si="1"/>
        <v>O casamento de Isaque</v>
      </c>
      <c r="J16" s="58" t="str">
        <f t="shared" si="1"/>
        <v>Gn 24</v>
      </c>
      <c r="K16" s="260"/>
      <c r="L16" s="41"/>
      <c r="M16" s="42" t="s">
        <v>11</v>
      </c>
      <c r="N16" s="42"/>
    </row>
    <row r="17" spans="1:14" hidden="1">
      <c r="A17" s="42">
        <v>1</v>
      </c>
      <c r="B17" s="42">
        <v>2024</v>
      </c>
      <c r="C17" s="57">
        <v>9</v>
      </c>
      <c r="D17" s="61" t="s">
        <v>480</v>
      </c>
      <c r="E17" s="58" t="s">
        <v>484</v>
      </c>
      <c r="F17" s="98"/>
      <c r="G17" s="91">
        <f t="shared" si="0"/>
        <v>45396</v>
      </c>
      <c r="H17" s="67">
        <f t="shared" si="1"/>
        <v>8</v>
      </c>
      <c r="I17" s="58" t="str">
        <f t="shared" si="1"/>
        <v>Esaú e Jacó (nascimento e conflito)</v>
      </c>
      <c r="J17" s="58" t="str">
        <f t="shared" si="1"/>
        <v>Gn 25.19 - 28</v>
      </c>
      <c r="K17" s="258"/>
      <c r="L17" s="41" t="s">
        <v>482</v>
      </c>
      <c r="M17" s="42" t="s">
        <v>11</v>
      </c>
      <c r="N17" s="42"/>
    </row>
    <row r="18" spans="1:14" hidden="1">
      <c r="A18" s="42">
        <v>1</v>
      </c>
      <c r="B18" s="42">
        <v>2024</v>
      </c>
      <c r="C18" s="57">
        <v>10</v>
      </c>
      <c r="D18" s="61" t="s">
        <v>483</v>
      </c>
      <c r="E18" s="58" t="s">
        <v>486</v>
      </c>
      <c r="F18" s="98"/>
      <c r="G18" s="91">
        <f t="shared" si="0"/>
        <v>45403</v>
      </c>
      <c r="H18" s="67">
        <f t="shared" si="1"/>
        <v>9</v>
      </c>
      <c r="I18" s="58" t="str">
        <f t="shared" si="1"/>
        <v>Os casamentos de Jacó</v>
      </c>
      <c r="J18" s="58" t="str">
        <f t="shared" si="1"/>
        <v>Gn 29-31</v>
      </c>
      <c r="K18" s="257" t="s">
        <v>32</v>
      </c>
      <c r="L18" s="41"/>
      <c r="M18" s="42" t="s">
        <v>11</v>
      </c>
      <c r="N18" s="42"/>
    </row>
    <row r="19" spans="1:14" hidden="1">
      <c r="A19" s="42">
        <v>1</v>
      </c>
      <c r="B19" s="42">
        <v>2024</v>
      </c>
      <c r="C19" s="57">
        <v>11</v>
      </c>
      <c r="D19" s="61" t="s">
        <v>485</v>
      </c>
      <c r="E19" s="58" t="s">
        <v>489</v>
      </c>
      <c r="F19" s="98"/>
      <c r="G19" s="91">
        <f t="shared" si="0"/>
        <v>45410</v>
      </c>
      <c r="H19" s="67">
        <f t="shared" si="1"/>
        <v>10</v>
      </c>
      <c r="I19" s="58" t="str">
        <f t="shared" si="1"/>
        <v>Esaú e Jacó (reconciliação)</v>
      </c>
      <c r="J19" s="58" t="str">
        <f t="shared" si="1"/>
        <v>Gn 32, 33 e 35</v>
      </c>
      <c r="K19" s="260"/>
      <c r="L19" s="41" t="s">
        <v>487</v>
      </c>
      <c r="M19" s="42" t="s">
        <v>11</v>
      </c>
      <c r="N19" s="42"/>
    </row>
    <row r="20" spans="1:14" hidden="1">
      <c r="A20" s="42">
        <v>1</v>
      </c>
      <c r="B20" s="42">
        <v>2024</v>
      </c>
      <c r="C20" s="57">
        <v>12</v>
      </c>
      <c r="D20" s="61" t="s">
        <v>488</v>
      </c>
      <c r="E20" s="58" t="s">
        <v>492</v>
      </c>
      <c r="F20" s="98"/>
      <c r="G20" s="91">
        <f t="shared" si="0"/>
        <v>45417</v>
      </c>
      <c r="H20" s="67">
        <f t="shared" si="1"/>
        <v>11</v>
      </c>
      <c r="I20" s="58" t="str">
        <f t="shared" si="1"/>
        <v>José vai para  Egito</v>
      </c>
      <c r="J20" s="58" t="str">
        <f t="shared" si="1"/>
        <v>Gn 37, 39</v>
      </c>
      <c r="K20" s="260"/>
      <c r="L20" s="41" t="s">
        <v>490</v>
      </c>
      <c r="M20" s="42" t="s">
        <v>11</v>
      </c>
      <c r="N20" s="42"/>
    </row>
    <row r="21" spans="1:14" hidden="1">
      <c r="A21" s="42">
        <v>1</v>
      </c>
      <c r="B21" s="42">
        <v>2024</v>
      </c>
      <c r="C21" s="57">
        <v>13</v>
      </c>
      <c r="D21" s="61" t="s">
        <v>491</v>
      </c>
      <c r="E21" s="58" t="s">
        <v>495</v>
      </c>
      <c r="F21" s="98"/>
      <c r="G21" s="91">
        <f t="shared" si="0"/>
        <v>45424</v>
      </c>
      <c r="H21" s="67">
        <f t="shared" si="1"/>
        <v>12</v>
      </c>
      <c r="I21" s="58" t="str">
        <f t="shared" si="1"/>
        <v>José no Egito</v>
      </c>
      <c r="J21" s="58" t="str">
        <f t="shared" si="1"/>
        <v>Gn 40-41</v>
      </c>
      <c r="K21" s="258"/>
      <c r="L21" s="41" t="s">
        <v>493</v>
      </c>
      <c r="M21" s="42" t="s">
        <v>11</v>
      </c>
      <c r="N21" s="42"/>
    </row>
    <row r="22" spans="1:14" hidden="1">
      <c r="A22" s="42">
        <v>1</v>
      </c>
      <c r="B22" s="42">
        <v>2024</v>
      </c>
      <c r="C22" s="57">
        <v>14</v>
      </c>
      <c r="D22" s="61" t="s">
        <v>494</v>
      </c>
      <c r="E22" s="58" t="s">
        <v>497</v>
      </c>
      <c r="F22" s="98"/>
      <c r="G22" s="91">
        <f t="shared" si="0"/>
        <v>45431</v>
      </c>
      <c r="H22" s="67">
        <f t="shared" si="1"/>
        <v>13</v>
      </c>
      <c r="I22" s="58" t="str">
        <f t="shared" si="1"/>
        <v>Família de José vai ao Egito</v>
      </c>
      <c r="J22" s="58" t="str">
        <f t="shared" si="1"/>
        <v>Gn 42-50</v>
      </c>
      <c r="K22" s="257" t="s">
        <v>42</v>
      </c>
      <c r="L22" s="41"/>
      <c r="M22" s="42" t="s">
        <v>11</v>
      </c>
      <c r="N22" s="42"/>
    </row>
    <row r="23" spans="1:14" hidden="1">
      <c r="A23" s="42">
        <v>1</v>
      </c>
      <c r="B23" s="42">
        <v>2024</v>
      </c>
      <c r="C23" s="57">
        <v>15</v>
      </c>
      <c r="D23" s="61" t="s">
        <v>498</v>
      </c>
      <c r="E23" s="58" t="s">
        <v>499</v>
      </c>
      <c r="F23" s="98"/>
      <c r="G23" s="91">
        <f t="shared" si="0"/>
        <v>45438</v>
      </c>
      <c r="H23" s="67">
        <f t="shared" si="1"/>
        <v>14</v>
      </c>
      <c r="I23" s="58" t="str">
        <f t="shared" si="1"/>
        <v>Nascimento e chamado de Moisés</v>
      </c>
      <c r="J23" s="58" t="str">
        <f t="shared" si="1"/>
        <v>Ex 1 - 4</v>
      </c>
      <c r="K23" s="260"/>
      <c r="L23" s="41"/>
      <c r="M23" s="42" t="s">
        <v>11</v>
      </c>
      <c r="N23" s="42"/>
    </row>
    <row r="24" spans="1:14" hidden="1">
      <c r="A24" s="42">
        <v>1</v>
      </c>
      <c r="B24" s="42">
        <v>2024</v>
      </c>
      <c r="C24" s="57">
        <v>16</v>
      </c>
      <c r="D24" s="61" t="s">
        <v>500</v>
      </c>
      <c r="E24" s="58" t="s">
        <v>504</v>
      </c>
      <c r="F24" s="98"/>
      <c r="G24" s="91">
        <f t="shared" si="0"/>
        <v>45445</v>
      </c>
      <c r="H24" s="67">
        <f t="shared" si="1"/>
        <v>15</v>
      </c>
      <c r="I24" s="58" t="str">
        <f t="shared" si="1"/>
        <v>Saída do Egito (libertação)</v>
      </c>
      <c r="J24" s="58" t="str">
        <f t="shared" si="1"/>
        <v>Ex 5-12.36</v>
      </c>
      <c r="K24" s="260"/>
      <c r="L24" s="41"/>
      <c r="M24" s="42" t="s">
        <v>11</v>
      </c>
      <c r="N24" s="42"/>
    </row>
    <row r="25" spans="1:14" hidden="1">
      <c r="A25" s="42">
        <v>1</v>
      </c>
      <c r="B25" s="42">
        <v>2024</v>
      </c>
      <c r="C25" s="57">
        <v>17</v>
      </c>
      <c r="D25" s="61" t="s">
        <v>503</v>
      </c>
      <c r="E25" s="58" t="s">
        <v>508</v>
      </c>
      <c r="F25" s="98"/>
      <c r="G25" s="91">
        <f t="shared" si="0"/>
        <v>45452</v>
      </c>
      <c r="H25" s="67">
        <f t="shared" ref="H25:J37" si="2">C24</f>
        <v>16</v>
      </c>
      <c r="I25" s="58" t="str">
        <f t="shared" si="2"/>
        <v>Travessia do Mar Vermelho (livres para adorar)</v>
      </c>
      <c r="J25" s="58" t="str">
        <f t="shared" si="2"/>
        <v>Ex 14-15</v>
      </c>
      <c r="K25" s="258"/>
      <c r="L25" s="41" t="s">
        <v>502</v>
      </c>
      <c r="M25" s="42" t="s">
        <v>11</v>
      </c>
      <c r="N25" s="42"/>
    </row>
    <row r="26" spans="1:14" hidden="1">
      <c r="A26" s="42">
        <v>1</v>
      </c>
      <c r="B26" s="42">
        <v>2024</v>
      </c>
      <c r="C26" s="80">
        <v>18</v>
      </c>
      <c r="D26" s="62" t="s">
        <v>507</v>
      </c>
      <c r="E26" s="58" t="s">
        <v>510</v>
      </c>
      <c r="F26" s="98"/>
      <c r="G26" s="91">
        <f t="shared" si="0"/>
        <v>45459</v>
      </c>
      <c r="H26" s="67">
        <f t="shared" si="2"/>
        <v>17</v>
      </c>
      <c r="I26" s="58" t="str">
        <f t="shared" si="2"/>
        <v>Sustento no deserto - o Maná (providência)</v>
      </c>
      <c r="J26" s="58" t="str">
        <f t="shared" si="2"/>
        <v>Ex 15.22-17</v>
      </c>
      <c r="K26" s="257" t="s">
        <v>62</v>
      </c>
      <c r="L26" s="41" t="s">
        <v>505</v>
      </c>
      <c r="M26" s="42" t="s">
        <v>11</v>
      </c>
      <c r="N26" s="41" t="s">
        <v>506</v>
      </c>
    </row>
    <row r="27" spans="1:14" hidden="1">
      <c r="A27" s="42">
        <v>1</v>
      </c>
      <c r="B27" s="42">
        <v>2024</v>
      </c>
      <c r="C27" s="57">
        <v>19</v>
      </c>
      <c r="D27" s="62" t="s">
        <v>509</v>
      </c>
      <c r="E27" s="58" t="s">
        <v>686</v>
      </c>
      <c r="F27" s="98"/>
      <c r="G27" s="91">
        <f t="shared" si="0"/>
        <v>45466</v>
      </c>
      <c r="H27" s="67">
        <f t="shared" si="2"/>
        <v>18</v>
      </c>
      <c r="I27" s="58" t="str">
        <f t="shared" si="2"/>
        <v>A visita de Jetro a Moisés (governo)</v>
      </c>
      <c r="J27" s="58" t="str">
        <f t="shared" si="2"/>
        <v>Ex 18</v>
      </c>
      <c r="K27" s="260"/>
      <c r="L27" s="41"/>
      <c r="M27" s="42" t="s">
        <v>11</v>
      </c>
      <c r="N27" s="42"/>
    </row>
    <row r="28" spans="1:14" hidden="1">
      <c r="A28" s="42">
        <v>1</v>
      </c>
      <c r="B28" s="42">
        <v>2024</v>
      </c>
      <c r="C28" s="80">
        <v>20</v>
      </c>
      <c r="D28" s="62" t="s">
        <v>512</v>
      </c>
      <c r="E28" s="58" t="s">
        <v>686</v>
      </c>
      <c r="F28" s="98"/>
      <c r="G28" s="91">
        <f t="shared" si="0"/>
        <v>45473</v>
      </c>
      <c r="H28" s="67">
        <f t="shared" si="2"/>
        <v>19</v>
      </c>
      <c r="I28" s="58" t="str">
        <f t="shared" si="2"/>
        <v>Os 10 mandamentos (Lei) - parte 1</v>
      </c>
      <c r="J28" s="58" t="str">
        <f t="shared" si="2"/>
        <v>Ex 19-20 + Dt 6 a 26</v>
      </c>
      <c r="K28" s="260"/>
      <c r="L28" s="41" t="s">
        <v>511</v>
      </c>
      <c r="M28" s="42" t="s">
        <v>11</v>
      </c>
      <c r="N28" s="42"/>
    </row>
    <row r="29" spans="1:14" hidden="1">
      <c r="A29" s="42">
        <v>1</v>
      </c>
      <c r="B29" s="42">
        <v>2024</v>
      </c>
      <c r="C29" s="57">
        <v>21</v>
      </c>
      <c r="D29" s="62" t="s">
        <v>515</v>
      </c>
      <c r="E29" s="58" t="s">
        <v>79</v>
      </c>
      <c r="F29" s="98"/>
      <c r="G29" s="91">
        <f t="shared" si="0"/>
        <v>45480</v>
      </c>
      <c r="H29" s="67">
        <f t="shared" si="2"/>
        <v>20</v>
      </c>
      <c r="I29" s="58" t="str">
        <f t="shared" si="2"/>
        <v>Os 10 mandamentos (Lei) - parte 2</v>
      </c>
      <c r="J29" s="58" t="str">
        <f t="shared" si="2"/>
        <v>Ex 19-20 + Dt 6 a 26</v>
      </c>
      <c r="K29" s="260"/>
      <c r="L29" s="41" t="s">
        <v>514</v>
      </c>
      <c r="M29" s="42" t="s">
        <v>11</v>
      </c>
      <c r="N29" s="42"/>
    </row>
    <row r="30" spans="1:14" hidden="1">
      <c r="A30" s="42">
        <v>1</v>
      </c>
      <c r="B30" s="42">
        <v>2024</v>
      </c>
      <c r="C30" s="80">
        <v>22</v>
      </c>
      <c r="D30" s="62" t="s">
        <v>517</v>
      </c>
      <c r="E30" s="58" t="s">
        <v>519</v>
      </c>
      <c r="F30" s="98"/>
      <c r="G30" s="91">
        <f t="shared" si="0"/>
        <v>45487</v>
      </c>
      <c r="H30" s="67">
        <f t="shared" si="2"/>
        <v>21</v>
      </c>
      <c r="I30" s="58" t="str">
        <f t="shared" si="2"/>
        <v>O Bezerro de Ouro (idolatria)</v>
      </c>
      <c r="J30" s="58" t="str">
        <f t="shared" si="2"/>
        <v>Ex 32; 34 e Lv</v>
      </c>
      <c r="K30" s="260"/>
      <c r="L30" s="41" t="s">
        <v>516</v>
      </c>
      <c r="M30" s="42" t="s">
        <v>11</v>
      </c>
      <c r="N30" s="42"/>
    </row>
    <row r="31" spans="1:14" hidden="1">
      <c r="A31" s="42">
        <v>1</v>
      </c>
      <c r="B31" s="42">
        <v>2024</v>
      </c>
      <c r="C31" s="57">
        <v>23</v>
      </c>
      <c r="D31" s="62" t="s">
        <v>518</v>
      </c>
      <c r="E31" s="58" t="s">
        <v>519</v>
      </c>
      <c r="F31" s="98"/>
      <c r="G31" s="91">
        <f t="shared" si="0"/>
        <v>45494</v>
      </c>
      <c r="H31" s="67">
        <f t="shared" si="2"/>
        <v>22</v>
      </c>
      <c r="I31" s="58" t="str">
        <f t="shared" si="2"/>
        <v>O Tabernáculo (presença de Deus) - parte 1</v>
      </c>
      <c r="J31" s="58" t="str">
        <f t="shared" si="2"/>
        <v>Ex 35-40</v>
      </c>
      <c r="K31" s="258"/>
      <c r="L31" s="41"/>
      <c r="M31" s="42" t="s">
        <v>11</v>
      </c>
      <c r="N31" s="42"/>
    </row>
    <row r="32" spans="1:14" hidden="1">
      <c r="A32" s="42">
        <v>1</v>
      </c>
      <c r="B32" s="42">
        <v>2024</v>
      </c>
      <c r="C32" s="80">
        <v>24</v>
      </c>
      <c r="D32" s="62" t="s">
        <v>522</v>
      </c>
      <c r="E32" s="58" t="s">
        <v>524</v>
      </c>
      <c r="F32" s="98"/>
      <c r="G32" s="91">
        <f t="shared" si="0"/>
        <v>45501</v>
      </c>
      <c r="H32" s="67">
        <f t="shared" si="2"/>
        <v>23</v>
      </c>
      <c r="I32" s="58" t="str">
        <f t="shared" si="2"/>
        <v>O Tabernáculo (presença de Deus) - parte 2</v>
      </c>
      <c r="J32" s="58" t="str">
        <f t="shared" si="2"/>
        <v>Ex 35-40</v>
      </c>
      <c r="K32" s="257" t="s">
        <v>520</v>
      </c>
      <c r="L32" s="41" t="s">
        <v>521</v>
      </c>
      <c r="M32" s="42" t="s">
        <v>11</v>
      </c>
      <c r="N32" s="42"/>
    </row>
    <row r="33" spans="1:14" hidden="1">
      <c r="A33" s="42">
        <v>1</v>
      </c>
      <c r="B33" s="42">
        <v>2024</v>
      </c>
      <c r="C33" s="57">
        <v>25</v>
      </c>
      <c r="D33" s="62" t="s">
        <v>90</v>
      </c>
      <c r="E33" s="58" t="s">
        <v>527</v>
      </c>
      <c r="F33" s="98"/>
      <c r="G33" s="91">
        <f t="shared" si="0"/>
        <v>45508</v>
      </c>
      <c r="H33" s="67">
        <f t="shared" si="2"/>
        <v>24</v>
      </c>
      <c r="I33" s="58" t="str">
        <f t="shared" si="2"/>
        <v>Regras para o Sacrifício</v>
      </c>
      <c r="J33" s="58" t="str">
        <f t="shared" si="2"/>
        <v>Lv</v>
      </c>
      <c r="K33" s="260"/>
      <c r="L33" s="41" t="s">
        <v>523</v>
      </c>
      <c r="M33" s="42" t="s">
        <v>11</v>
      </c>
      <c r="N33" s="42"/>
    </row>
    <row r="34" spans="1:14" hidden="1">
      <c r="A34" s="42">
        <v>1</v>
      </c>
      <c r="B34" s="42">
        <v>2024</v>
      </c>
      <c r="C34" s="80">
        <v>26</v>
      </c>
      <c r="D34" s="62" t="s">
        <v>526</v>
      </c>
      <c r="E34" s="58" t="s">
        <v>94</v>
      </c>
      <c r="F34" s="98"/>
      <c r="G34" s="91">
        <f t="shared" si="0"/>
        <v>45515</v>
      </c>
      <c r="H34" s="67">
        <f t="shared" si="2"/>
        <v>25</v>
      </c>
      <c r="I34" s="58" t="str">
        <f t="shared" si="2"/>
        <v>Os espias e a rebelião do povo</v>
      </c>
      <c r="J34" s="58" t="str">
        <f t="shared" si="2"/>
        <v>Introdução ao livro de Números + Nm 13-14</v>
      </c>
      <c r="K34" s="258"/>
      <c r="L34" s="41" t="s">
        <v>525</v>
      </c>
      <c r="M34" s="42" t="s">
        <v>11</v>
      </c>
      <c r="N34" s="42"/>
    </row>
    <row r="35" spans="1:14" hidden="1">
      <c r="A35" s="42">
        <v>1</v>
      </c>
      <c r="B35" s="42">
        <v>2024</v>
      </c>
      <c r="C35" s="57">
        <v>27</v>
      </c>
      <c r="D35" s="62" t="s">
        <v>530</v>
      </c>
      <c r="E35" s="58" t="s">
        <v>98</v>
      </c>
      <c r="F35" s="98"/>
      <c r="G35" s="91">
        <f t="shared" si="0"/>
        <v>45522</v>
      </c>
      <c r="H35" s="67">
        <f>C34</f>
        <v>26</v>
      </c>
      <c r="I35" s="58" t="s">
        <v>687</v>
      </c>
      <c r="J35" s="58" t="str">
        <f t="shared" si="2"/>
        <v>Números 20–21; João 3: 14-15</v>
      </c>
      <c r="K35" s="257" t="s">
        <v>528</v>
      </c>
      <c r="L35" s="41"/>
      <c r="M35" s="42" t="s">
        <v>11</v>
      </c>
      <c r="N35" s="42" t="s">
        <v>529</v>
      </c>
    </row>
    <row r="36" spans="1:14" hidden="1">
      <c r="A36" s="42">
        <v>1</v>
      </c>
      <c r="B36" s="42">
        <v>2024</v>
      </c>
      <c r="C36" s="80">
        <v>28</v>
      </c>
      <c r="D36" s="62" t="s">
        <v>532</v>
      </c>
      <c r="E36" s="58" t="s">
        <v>102</v>
      </c>
      <c r="F36" s="98"/>
      <c r="G36" s="91">
        <f t="shared" si="0"/>
        <v>45529</v>
      </c>
      <c r="H36" s="67">
        <f>C35</f>
        <v>27</v>
      </c>
      <c r="I36" s="58" t="str">
        <f>D35</f>
        <v>A morte de Moisés</v>
      </c>
      <c r="J36" s="58" t="str">
        <f t="shared" si="2"/>
        <v>Dt 31–34</v>
      </c>
      <c r="K36" s="260"/>
      <c r="L36" s="41" t="s">
        <v>531</v>
      </c>
      <c r="M36" s="42" t="s">
        <v>11</v>
      </c>
      <c r="N36" s="42" t="s">
        <v>529</v>
      </c>
    </row>
    <row r="37" spans="1:14" hidden="1">
      <c r="A37" s="42">
        <v>1</v>
      </c>
      <c r="B37" s="42">
        <v>2024</v>
      </c>
      <c r="C37" s="57">
        <v>29</v>
      </c>
      <c r="D37" s="62" t="s">
        <v>534</v>
      </c>
      <c r="E37" s="58" t="s">
        <v>105</v>
      </c>
      <c r="F37" s="98"/>
      <c r="G37" s="91">
        <f t="shared" si="0"/>
        <v>45536</v>
      </c>
      <c r="H37" s="67">
        <f>C36</f>
        <v>28</v>
      </c>
      <c r="I37" s="58" t="str">
        <f>D36</f>
        <v>Travessia do Jordão</v>
      </c>
      <c r="J37" s="58" t="str">
        <f t="shared" si="2"/>
        <v>Josué 1–4</v>
      </c>
      <c r="K37" s="258"/>
      <c r="L37" s="41" t="s">
        <v>533</v>
      </c>
      <c r="M37" s="42" t="s">
        <v>11</v>
      </c>
      <c r="N37" s="42"/>
    </row>
    <row r="38" spans="1:14" hidden="1">
      <c r="A38" s="42">
        <v>1</v>
      </c>
      <c r="B38" s="42">
        <v>2024</v>
      </c>
      <c r="C38" s="42"/>
      <c r="D38" s="65" t="s">
        <v>688</v>
      </c>
      <c r="E38" s="55"/>
      <c r="F38" s="100"/>
      <c r="G38" s="93">
        <f t="shared" si="0"/>
        <v>45543</v>
      </c>
      <c r="H38" s="68"/>
      <c r="I38" s="56" t="s">
        <v>688</v>
      </c>
      <c r="J38" s="41"/>
      <c r="K38" s="257" t="s">
        <v>535</v>
      </c>
      <c r="L38" s="41" t="s">
        <v>536</v>
      </c>
      <c r="M38" s="42" t="s">
        <v>11</v>
      </c>
      <c r="N38" s="41" t="s">
        <v>537</v>
      </c>
    </row>
    <row r="39" spans="1:14" hidden="1">
      <c r="A39" s="42">
        <v>1</v>
      </c>
      <c r="B39" s="42">
        <v>2024</v>
      </c>
      <c r="C39" s="57">
        <v>30</v>
      </c>
      <c r="D39" s="62" t="s">
        <v>538</v>
      </c>
      <c r="E39" s="58" t="s">
        <v>541</v>
      </c>
      <c r="F39" s="98"/>
      <c r="G39" s="91">
        <f t="shared" si="0"/>
        <v>45550</v>
      </c>
      <c r="H39" s="67">
        <f>C37</f>
        <v>29</v>
      </c>
      <c r="I39" s="58" t="str">
        <f>D37</f>
        <v>A batalha de Jericó</v>
      </c>
      <c r="J39" s="58" t="str">
        <f>E37</f>
        <v>Josué 2; 6; Josué 10–11; 24</v>
      </c>
      <c r="K39" s="258"/>
      <c r="L39" s="41"/>
      <c r="M39" s="42" t="s">
        <v>11</v>
      </c>
      <c r="N39" s="41" t="s">
        <v>539</v>
      </c>
    </row>
    <row r="40" spans="1:14" hidden="1">
      <c r="A40" s="42">
        <v>1</v>
      </c>
      <c r="B40" s="42">
        <v>2024</v>
      </c>
      <c r="C40" s="57">
        <v>31</v>
      </c>
      <c r="D40" s="85" t="s">
        <v>540</v>
      </c>
      <c r="E40" s="81" t="s">
        <v>115</v>
      </c>
      <c r="F40" s="101"/>
      <c r="G40" s="94">
        <f t="shared" si="0"/>
        <v>45557</v>
      </c>
      <c r="H40" s="83">
        <f t="shared" ref="H40:J45" si="3">C39</f>
        <v>30</v>
      </c>
      <c r="I40" s="81" t="str">
        <f t="shared" si="3"/>
        <v>Ciclos de Rebelião - Débora e Baraque</v>
      </c>
      <c r="J40" s="81" t="str">
        <f t="shared" si="3"/>
        <v>Juízes 1-5</v>
      </c>
      <c r="K40" s="257" t="s">
        <v>542</v>
      </c>
      <c r="L40" s="41" t="s">
        <v>543</v>
      </c>
      <c r="M40" s="42" t="s">
        <v>11</v>
      </c>
      <c r="N40" s="41" t="s">
        <v>537</v>
      </c>
    </row>
    <row r="41" spans="1:14" hidden="1">
      <c r="A41" s="42">
        <v>1</v>
      </c>
      <c r="B41" s="42">
        <v>2024</v>
      </c>
      <c r="C41" s="57">
        <v>32</v>
      </c>
      <c r="D41" s="85" t="s">
        <v>544</v>
      </c>
      <c r="E41" s="81" t="s">
        <v>118</v>
      </c>
      <c r="F41" s="101"/>
      <c r="G41" s="94">
        <f t="shared" si="0"/>
        <v>45564</v>
      </c>
      <c r="H41" s="83">
        <f t="shared" si="3"/>
        <v>31</v>
      </c>
      <c r="I41" s="81" t="str">
        <f t="shared" si="3"/>
        <v>Ciclos de Rebelião - Gideão</v>
      </c>
      <c r="J41" s="81" t="str">
        <f t="shared" si="3"/>
        <v>Juízes 6–8</v>
      </c>
      <c r="K41" s="260"/>
      <c r="L41" s="41" t="s">
        <v>545</v>
      </c>
      <c r="M41" s="42" t="s">
        <v>11</v>
      </c>
      <c r="N41" s="41" t="s">
        <v>537</v>
      </c>
    </row>
    <row r="42" spans="1:14" hidden="1">
      <c r="A42" s="42">
        <v>1</v>
      </c>
      <c r="B42" s="42">
        <v>2024</v>
      </c>
      <c r="C42" s="57">
        <v>33</v>
      </c>
      <c r="D42" s="85" t="s">
        <v>546</v>
      </c>
      <c r="E42" s="81" t="s">
        <v>121</v>
      </c>
      <c r="F42" s="101"/>
      <c r="G42" s="94">
        <f t="shared" si="0"/>
        <v>45571</v>
      </c>
      <c r="H42" s="83">
        <f t="shared" si="3"/>
        <v>32</v>
      </c>
      <c r="I42" s="81" t="str">
        <f t="shared" si="3"/>
        <v>Ciclos de Rebelião - Sansão</v>
      </c>
      <c r="J42" s="81" t="str">
        <f t="shared" si="3"/>
        <v>Juízes 13–16</v>
      </c>
      <c r="K42" s="260"/>
      <c r="L42" s="41" t="s">
        <v>547</v>
      </c>
      <c r="M42" s="42" t="s">
        <v>11</v>
      </c>
      <c r="N42" s="41" t="s">
        <v>431</v>
      </c>
    </row>
    <row r="43" spans="1:14" hidden="1">
      <c r="A43" s="42">
        <v>1</v>
      </c>
      <c r="B43" s="42">
        <v>2024</v>
      </c>
      <c r="C43" s="57">
        <v>34</v>
      </c>
      <c r="D43" s="85" t="s">
        <v>548</v>
      </c>
      <c r="E43" s="81" t="s">
        <v>150</v>
      </c>
      <c r="F43" s="101"/>
      <c r="G43" s="94">
        <f t="shared" si="0"/>
        <v>45578</v>
      </c>
      <c r="H43" s="83">
        <f t="shared" si="3"/>
        <v>33</v>
      </c>
      <c r="I43" s="81" t="str">
        <f t="shared" si="3"/>
        <v>Rute e Boaz</v>
      </c>
      <c r="J43" s="81" t="str">
        <f t="shared" si="3"/>
        <v>Rute 1 a 4</v>
      </c>
      <c r="K43" s="258"/>
      <c r="L43" s="41" t="s">
        <v>549</v>
      </c>
      <c r="M43" s="42" t="s">
        <v>11</v>
      </c>
      <c r="N43" s="42"/>
    </row>
    <row r="44" spans="1:14" hidden="1">
      <c r="A44" s="42">
        <v>1</v>
      </c>
      <c r="B44" s="42">
        <v>2024</v>
      </c>
      <c r="C44" s="42">
        <v>35</v>
      </c>
      <c r="D44" s="88" t="s">
        <v>152</v>
      </c>
      <c r="E44" s="81" t="s">
        <v>153</v>
      </c>
      <c r="F44" s="101"/>
      <c r="G44" s="94">
        <f t="shared" si="0"/>
        <v>45585</v>
      </c>
      <c r="H44" s="83">
        <f t="shared" si="3"/>
        <v>34</v>
      </c>
      <c r="I44" s="81" t="str">
        <f t="shared" si="3"/>
        <v>O chamado de Samuel como profeta</v>
      </c>
      <c r="J44" s="81" t="str">
        <f t="shared" si="3"/>
        <v>1 Samuel 1–3</v>
      </c>
      <c r="K44" s="257" t="s">
        <v>550</v>
      </c>
      <c r="L44" s="41"/>
      <c r="M44" s="42" t="s">
        <v>11</v>
      </c>
      <c r="N44" s="42"/>
    </row>
    <row r="45" spans="1:14" hidden="1">
      <c r="A45" s="42">
        <v>1</v>
      </c>
      <c r="B45" s="42">
        <v>2024</v>
      </c>
      <c r="C45" s="42">
        <v>36</v>
      </c>
      <c r="D45" s="88" t="s">
        <v>156</v>
      </c>
      <c r="E45" s="81" t="s">
        <v>157</v>
      </c>
      <c r="F45" s="101"/>
      <c r="G45" s="94">
        <f t="shared" si="0"/>
        <v>45592</v>
      </c>
      <c r="H45" s="83">
        <f t="shared" si="3"/>
        <v>35</v>
      </c>
      <c r="I45" s="81" t="str">
        <f t="shared" si="3"/>
        <v>Icabod – Foi-se a glória</v>
      </c>
      <c r="J45" s="81" t="str">
        <f t="shared" si="3"/>
        <v>1 Samuel 4–7</v>
      </c>
      <c r="K45" s="258"/>
      <c r="L45" s="41" t="s">
        <v>551</v>
      </c>
      <c r="M45" s="42" t="s">
        <v>11</v>
      </c>
      <c r="N45" s="42"/>
    </row>
    <row r="46" spans="1:14" ht="15" hidden="1" customHeight="1">
      <c r="A46" s="42">
        <v>1</v>
      </c>
      <c r="B46" s="42">
        <v>2024</v>
      </c>
      <c r="C46" s="42"/>
      <c r="D46" s="87" t="s">
        <v>691</v>
      </c>
      <c r="E46" s="56" t="s">
        <v>138</v>
      </c>
      <c r="F46" s="102"/>
      <c r="G46" s="93">
        <f t="shared" si="0"/>
        <v>45599</v>
      </c>
      <c r="H46" s="68">
        <f>C45</f>
        <v>36</v>
      </c>
      <c r="I46" s="56" t="s">
        <v>692</v>
      </c>
      <c r="J46" s="56" t="s">
        <v>693</v>
      </c>
      <c r="K46" s="257" t="s">
        <v>553</v>
      </c>
      <c r="L46" s="41"/>
      <c r="M46" s="42" t="s">
        <v>11</v>
      </c>
      <c r="N46" s="42"/>
    </row>
    <row r="47" spans="1:14" hidden="1">
      <c r="A47" s="42">
        <v>1</v>
      </c>
      <c r="B47" s="42">
        <v>2024</v>
      </c>
      <c r="C47" s="84">
        <v>37</v>
      </c>
      <c r="D47" s="88" t="s">
        <v>552</v>
      </c>
      <c r="E47" s="81" t="s">
        <v>160</v>
      </c>
      <c r="F47" s="101" t="s">
        <v>694</v>
      </c>
      <c r="G47" s="94">
        <f t="shared" si="0"/>
        <v>45606</v>
      </c>
      <c r="H47" s="84">
        <v>37</v>
      </c>
      <c r="I47" s="85" t="s">
        <v>553</v>
      </c>
      <c r="J47" s="81" t="s">
        <v>695</v>
      </c>
      <c r="K47" s="260"/>
      <c r="L47" s="41"/>
      <c r="M47" s="42" t="s">
        <v>11</v>
      </c>
      <c r="N47" s="42"/>
    </row>
    <row r="48" spans="1:14" hidden="1">
      <c r="A48" s="42">
        <v>1</v>
      </c>
      <c r="B48" s="42">
        <v>2024</v>
      </c>
      <c r="C48" s="84">
        <v>38</v>
      </c>
      <c r="D48" s="88" t="s">
        <v>552</v>
      </c>
      <c r="E48" s="81" t="s">
        <v>696</v>
      </c>
      <c r="F48" s="101" t="s">
        <v>697</v>
      </c>
      <c r="G48" s="94">
        <f t="shared" si="0"/>
        <v>45613</v>
      </c>
      <c r="H48" s="84">
        <f>C48</f>
        <v>38</v>
      </c>
      <c r="I48" s="85" t="str">
        <f>D48</f>
        <v>Queda de Saul</v>
      </c>
      <c r="J48" s="81" t="str">
        <f>E48</f>
        <v>1 Sm 16 a 24</v>
      </c>
      <c r="K48" s="260"/>
      <c r="L48" s="41"/>
      <c r="M48" s="42" t="s">
        <v>11</v>
      </c>
      <c r="N48" s="42"/>
    </row>
    <row r="49" spans="1:14" hidden="1">
      <c r="A49" s="42">
        <v>1</v>
      </c>
      <c r="B49" s="42">
        <v>2024</v>
      </c>
      <c r="C49" s="84">
        <v>39</v>
      </c>
      <c r="D49" s="88" t="s">
        <v>698</v>
      </c>
      <c r="E49" s="81" t="s">
        <v>699</v>
      </c>
      <c r="F49" s="101" t="s">
        <v>700</v>
      </c>
      <c r="G49" s="94">
        <f t="shared" si="0"/>
        <v>45620</v>
      </c>
      <c r="H49" s="83">
        <f t="shared" ref="H49:J52" si="4">C49</f>
        <v>39</v>
      </c>
      <c r="I49" s="81" t="str">
        <f t="shared" si="4"/>
        <v>Fim do reinado de Saul</v>
      </c>
      <c r="J49" s="81" t="str">
        <f t="shared" si="4"/>
        <v>1 Sm 25 a 31</v>
      </c>
      <c r="K49" s="260"/>
      <c r="L49" s="41"/>
      <c r="M49" s="42" t="s">
        <v>11</v>
      </c>
      <c r="N49" s="42"/>
    </row>
    <row r="50" spans="1:14" ht="14.45" hidden="1" customHeight="1">
      <c r="A50" s="42">
        <v>1</v>
      </c>
      <c r="B50" s="42">
        <v>2024</v>
      </c>
      <c r="C50" s="84">
        <v>40</v>
      </c>
      <c r="D50" s="88" t="s">
        <v>554</v>
      </c>
      <c r="E50" s="81" t="s">
        <v>701</v>
      </c>
      <c r="F50" s="101" t="s">
        <v>702</v>
      </c>
      <c r="G50" s="94">
        <f t="shared" si="0"/>
        <v>45627</v>
      </c>
      <c r="H50" s="83">
        <f t="shared" si="4"/>
        <v>40</v>
      </c>
      <c r="I50" s="108" t="s">
        <v>574</v>
      </c>
      <c r="J50" s="109"/>
      <c r="K50" s="261" t="s">
        <v>557</v>
      </c>
      <c r="L50" s="41"/>
      <c r="M50" s="42" t="s">
        <v>11</v>
      </c>
      <c r="N50" s="42"/>
    </row>
    <row r="51" spans="1:14" hidden="1">
      <c r="A51" s="42">
        <v>1</v>
      </c>
      <c r="B51" s="42">
        <v>2024</v>
      </c>
      <c r="C51" s="84">
        <v>41</v>
      </c>
      <c r="D51" s="88" t="s">
        <v>555</v>
      </c>
      <c r="E51" s="81" t="s">
        <v>703</v>
      </c>
      <c r="F51" s="101" t="s">
        <v>704</v>
      </c>
      <c r="G51" s="94">
        <f t="shared" si="0"/>
        <v>45634</v>
      </c>
      <c r="H51" s="83">
        <f t="shared" si="4"/>
        <v>41</v>
      </c>
      <c r="I51" s="81" t="str">
        <f>D50</f>
        <v>O reinado de Davi - parte 1</v>
      </c>
      <c r="J51" s="81" t="str">
        <f>E50</f>
        <v>2 Sm 1 a 10</v>
      </c>
      <c r="K51" s="261"/>
      <c r="L51" s="41"/>
      <c r="M51" s="42" t="s">
        <v>11</v>
      </c>
      <c r="N51" s="42"/>
    </row>
    <row r="52" spans="1:14" hidden="1">
      <c r="A52" s="42">
        <v>1</v>
      </c>
      <c r="B52" s="42">
        <v>2024</v>
      </c>
      <c r="C52" s="84">
        <v>42</v>
      </c>
      <c r="D52" s="88" t="s">
        <v>558</v>
      </c>
      <c r="E52" s="81" t="s">
        <v>561</v>
      </c>
      <c r="F52" s="110" t="s">
        <v>697</v>
      </c>
      <c r="G52" s="94">
        <f t="shared" si="0"/>
        <v>45641</v>
      </c>
      <c r="H52" s="83">
        <f t="shared" si="4"/>
        <v>42</v>
      </c>
      <c r="I52" s="81" t="str">
        <f>D51</f>
        <v>O reinado de Davi - parte 2</v>
      </c>
      <c r="J52" s="81" t="str">
        <f>E51</f>
        <v>2 Sm 11 a 24</v>
      </c>
      <c r="K52" s="261"/>
      <c r="L52" s="41"/>
      <c r="M52" s="42" t="s">
        <v>11</v>
      </c>
      <c r="N52" s="42"/>
    </row>
    <row r="53" spans="1:14" hidden="1">
      <c r="A53" s="42">
        <v>1</v>
      </c>
      <c r="B53" s="42">
        <v>2024</v>
      </c>
      <c r="C53" s="42"/>
      <c r="D53" s="89" t="s">
        <v>429</v>
      </c>
      <c r="E53" s="66"/>
      <c r="F53" s="105"/>
      <c r="G53" s="95">
        <f t="shared" si="0"/>
        <v>45648</v>
      </c>
      <c r="H53" s="44"/>
      <c r="I53" s="3" t="s">
        <v>429</v>
      </c>
      <c r="J53" s="41"/>
      <c r="K53" s="41"/>
      <c r="L53" s="41"/>
      <c r="M53" s="42" t="s">
        <v>11</v>
      </c>
      <c r="N53" s="42"/>
    </row>
    <row r="54" spans="1:14" hidden="1">
      <c r="A54" s="42">
        <v>1</v>
      </c>
      <c r="B54" s="42">
        <v>2024</v>
      </c>
      <c r="C54" s="42"/>
      <c r="D54" s="89" t="s">
        <v>430</v>
      </c>
      <c r="E54" s="66"/>
      <c r="F54" s="105"/>
      <c r="G54" s="95">
        <f t="shared" si="0"/>
        <v>45655</v>
      </c>
      <c r="H54" s="44"/>
      <c r="I54" s="3" t="s">
        <v>430</v>
      </c>
      <c r="J54" s="41"/>
      <c r="K54" s="41"/>
      <c r="L54" s="41"/>
      <c r="M54" s="42" t="s">
        <v>11</v>
      </c>
      <c r="N54" s="42"/>
    </row>
    <row r="55" spans="1:14" ht="14.45" hidden="1" customHeight="1">
      <c r="A55" s="42">
        <v>2</v>
      </c>
      <c r="B55" s="42">
        <v>2025</v>
      </c>
      <c r="C55" s="42">
        <v>43</v>
      </c>
      <c r="D55" s="66" t="s">
        <v>567</v>
      </c>
      <c r="E55" s="66" t="s">
        <v>567</v>
      </c>
      <c r="F55" s="106" t="s">
        <v>694</v>
      </c>
      <c r="G55" s="95">
        <f t="shared" si="0"/>
        <v>45662</v>
      </c>
      <c r="H55" s="44">
        <v>43</v>
      </c>
      <c r="I55" s="41" t="s">
        <v>705</v>
      </c>
      <c r="J55" s="41" t="s">
        <v>706</v>
      </c>
      <c r="K55" s="257" t="s">
        <v>571</v>
      </c>
      <c r="L55" s="41"/>
      <c r="M55" s="42" t="s">
        <v>11</v>
      </c>
      <c r="N55" s="42"/>
    </row>
    <row r="56" spans="1:14" hidden="1">
      <c r="A56" s="42">
        <v>2</v>
      </c>
      <c r="B56" s="42">
        <v>2025</v>
      </c>
      <c r="C56" s="42">
        <v>44</v>
      </c>
      <c r="D56" s="64" t="s">
        <v>567</v>
      </c>
      <c r="E56" s="64" t="s">
        <v>567</v>
      </c>
      <c r="F56" s="104" t="s">
        <v>697</v>
      </c>
      <c r="G56" s="95">
        <f t="shared" si="0"/>
        <v>45669</v>
      </c>
      <c r="H56" s="68">
        <v>44</v>
      </c>
      <c r="I56" s="41" t="str">
        <f t="shared" ref="I56:I61" si="5">D55</f>
        <v>Eclesiastes</v>
      </c>
      <c r="J56" s="41" t="s">
        <v>707</v>
      </c>
      <c r="K56" s="260"/>
      <c r="L56" s="41"/>
      <c r="M56" s="42" t="s">
        <v>11</v>
      </c>
      <c r="N56" s="42"/>
    </row>
    <row r="57" spans="1:14" hidden="1">
      <c r="A57" s="42">
        <v>2</v>
      </c>
      <c r="B57" s="42">
        <v>2025</v>
      </c>
      <c r="C57" s="42">
        <v>45</v>
      </c>
      <c r="D57" s="66" t="s">
        <v>572</v>
      </c>
      <c r="E57" s="66" t="s">
        <v>572</v>
      </c>
      <c r="F57" s="104" t="s">
        <v>700</v>
      </c>
      <c r="G57" s="95">
        <f t="shared" si="0"/>
        <v>45676</v>
      </c>
      <c r="H57" s="68">
        <v>44</v>
      </c>
      <c r="I57" s="41" t="str">
        <f t="shared" si="5"/>
        <v>Eclesiastes</v>
      </c>
      <c r="J57" s="41" t="s">
        <v>708</v>
      </c>
      <c r="K57" s="260"/>
      <c r="L57" s="41"/>
      <c r="M57" s="42" t="s">
        <v>11</v>
      </c>
      <c r="N57" s="42"/>
    </row>
    <row r="58" spans="1:14" hidden="1">
      <c r="A58" s="42">
        <v>2</v>
      </c>
      <c r="B58" s="42">
        <v>2025</v>
      </c>
      <c r="C58" s="42">
        <v>46</v>
      </c>
      <c r="D58" s="66" t="s">
        <v>188</v>
      </c>
      <c r="E58" s="66" t="s">
        <v>188</v>
      </c>
      <c r="F58" s="104" t="s">
        <v>704</v>
      </c>
      <c r="G58" s="95">
        <f t="shared" si="0"/>
        <v>45683</v>
      </c>
      <c r="H58" s="44">
        <f>C57</f>
        <v>45</v>
      </c>
      <c r="I58" s="41" t="str">
        <f>D57</f>
        <v>Cantares</v>
      </c>
      <c r="J58" s="41"/>
      <c r="K58" s="260"/>
      <c r="L58" s="41"/>
      <c r="M58" s="42" t="s">
        <v>11</v>
      </c>
      <c r="N58" s="42"/>
    </row>
    <row r="59" spans="1:14" hidden="1">
      <c r="A59" s="42">
        <v>2</v>
      </c>
      <c r="B59" s="42">
        <v>2025</v>
      </c>
      <c r="C59" s="42">
        <v>47</v>
      </c>
      <c r="D59" s="66" t="s">
        <v>188</v>
      </c>
      <c r="E59" s="66" t="s">
        <v>188</v>
      </c>
      <c r="F59" s="106" t="s">
        <v>694</v>
      </c>
      <c r="G59" s="95">
        <f t="shared" si="0"/>
        <v>45690</v>
      </c>
      <c r="H59" s="44">
        <f>C58</f>
        <v>46</v>
      </c>
      <c r="I59" s="41" t="str">
        <f>D58</f>
        <v>Provérbios</v>
      </c>
      <c r="J59" s="41"/>
      <c r="K59" s="260"/>
      <c r="L59" s="41"/>
      <c r="M59" s="42" t="s">
        <v>11</v>
      </c>
      <c r="N59" s="42"/>
    </row>
    <row r="60" spans="1:14">
      <c r="A60" s="42">
        <v>2</v>
      </c>
      <c r="B60" s="42">
        <v>2025</v>
      </c>
      <c r="C60" s="42">
        <v>48</v>
      </c>
      <c r="D60" s="66" t="s">
        <v>709</v>
      </c>
      <c r="E60" s="42" t="s">
        <v>565</v>
      </c>
      <c r="F60" s="104" t="s">
        <v>704</v>
      </c>
      <c r="G60" s="95">
        <f t="shared" si="0"/>
        <v>45697</v>
      </c>
      <c r="H60" s="44">
        <f>C52</f>
        <v>42</v>
      </c>
      <c r="I60" s="41" t="str">
        <f>D52</f>
        <v>O reinado de Salomão - parte 1</v>
      </c>
      <c r="J60" s="41"/>
      <c r="K60" s="255"/>
      <c r="L60" s="41"/>
      <c r="M60" s="42" t="s">
        <v>11</v>
      </c>
      <c r="N60" s="42"/>
    </row>
    <row r="61" spans="1:14">
      <c r="A61" s="42">
        <v>2</v>
      </c>
      <c r="B61" s="42">
        <v>2025</v>
      </c>
      <c r="C61" s="42">
        <v>49</v>
      </c>
      <c r="D61" s="64" t="s">
        <v>564</v>
      </c>
      <c r="E61" s="41" t="s">
        <v>568</v>
      </c>
      <c r="F61" s="104" t="s">
        <v>700</v>
      </c>
      <c r="G61" s="95">
        <f t="shared" si="0"/>
        <v>45704</v>
      </c>
      <c r="H61" s="44">
        <f>C60</f>
        <v>48</v>
      </c>
      <c r="I61" s="41" t="str">
        <f t="shared" si="5"/>
        <v>O reinado de Salomão - Construção do templo (adultos - retomar a parte 1)</v>
      </c>
      <c r="J61" s="41" t="str">
        <f>E60</f>
        <v>1 Rs 6-8</v>
      </c>
      <c r="K61" s="255"/>
      <c r="L61" s="41"/>
      <c r="M61" s="42" t="s">
        <v>11</v>
      </c>
      <c r="N61" s="42"/>
    </row>
    <row r="62" spans="1:14">
      <c r="A62" s="42">
        <v>2</v>
      </c>
      <c r="B62" s="42">
        <v>2025</v>
      </c>
      <c r="D62" s="279" t="s">
        <v>691</v>
      </c>
      <c r="E62" s="280"/>
      <c r="F62" s="280"/>
      <c r="G62" s="93">
        <f t="shared" si="0"/>
        <v>45711</v>
      </c>
      <c r="H62" s="281" t="s">
        <v>574</v>
      </c>
      <c r="I62" s="280"/>
      <c r="J62" s="282"/>
      <c r="K62" s="256"/>
      <c r="L62" s="41"/>
      <c r="M62" s="42" t="s">
        <v>11</v>
      </c>
      <c r="N62" s="42"/>
    </row>
    <row r="63" spans="1:14">
      <c r="A63" s="42">
        <v>2</v>
      </c>
      <c r="B63" s="42">
        <v>2025</v>
      </c>
      <c r="C63" s="42">
        <v>50</v>
      </c>
      <c r="D63" s="64" t="str">
        <f>+I64</f>
        <v>Reino dividido - parte 2 (de Jeroboão a Baasa)</v>
      </c>
      <c r="E63" s="41" t="s">
        <v>577</v>
      </c>
      <c r="F63" s="104" t="s">
        <v>697</v>
      </c>
      <c r="G63" s="112">
        <v>45725</v>
      </c>
      <c r="H63" s="44">
        <f>C61</f>
        <v>49</v>
      </c>
      <c r="I63" s="41" t="str">
        <f>D61</f>
        <v>Reino dividido - parte 1</v>
      </c>
      <c r="J63" s="41" t="str">
        <f>E61</f>
        <v>1 Rs 11-12</v>
      </c>
      <c r="K63" s="41"/>
      <c r="L63" s="41"/>
      <c r="M63" s="42" t="s">
        <v>11</v>
      </c>
      <c r="N63" s="42"/>
    </row>
    <row r="64" spans="1:14">
      <c r="A64" s="42">
        <v>2</v>
      </c>
      <c r="B64" s="42">
        <v>2025</v>
      </c>
      <c r="C64" s="42">
        <v>51</v>
      </c>
      <c r="D64" s="66" t="str">
        <f>I65</f>
        <v>Elias e a viúva</v>
      </c>
      <c r="E64" s="42" t="s">
        <v>197</v>
      </c>
      <c r="F64" s="111" t="s">
        <v>710</v>
      </c>
      <c r="G64" s="95">
        <f t="shared" si="0"/>
        <v>45732</v>
      </c>
      <c r="H64" s="44">
        <f>+C63</f>
        <v>50</v>
      </c>
      <c r="I64" s="41" t="s">
        <v>576</v>
      </c>
      <c r="J64" s="41" t="s">
        <v>577</v>
      </c>
      <c r="K64" s="41" t="s">
        <v>569</v>
      </c>
      <c r="L64" s="42" t="s">
        <v>578</v>
      </c>
      <c r="M64" s="42" t="s">
        <v>11</v>
      </c>
      <c r="N64" s="42"/>
    </row>
    <row r="65" spans="1:14">
      <c r="A65" s="42">
        <v>2</v>
      </c>
      <c r="B65" s="42">
        <v>2025</v>
      </c>
      <c r="C65" s="42">
        <v>52</v>
      </c>
      <c r="D65" s="66" t="str">
        <f t="shared" ref="D65:D103" si="6">I66</f>
        <v>Elias no Monte Carmelo</v>
      </c>
      <c r="E65" s="42" t="s">
        <v>200</v>
      </c>
      <c r="F65" s="106" t="s">
        <v>694</v>
      </c>
      <c r="G65" s="95">
        <f t="shared" si="0"/>
        <v>45739</v>
      </c>
      <c r="H65" s="44">
        <f>+C64</f>
        <v>51</v>
      </c>
      <c r="I65" s="42" t="s">
        <v>196</v>
      </c>
      <c r="J65" s="42" t="s">
        <v>197</v>
      </c>
      <c r="K65" s="257" t="s">
        <v>195</v>
      </c>
      <c r="L65" s="42" t="s">
        <v>578</v>
      </c>
      <c r="M65" s="42" t="s">
        <v>11</v>
      </c>
      <c r="N65" s="42"/>
    </row>
    <row r="66" spans="1:14">
      <c r="A66" s="42">
        <v>2</v>
      </c>
      <c r="B66" s="42">
        <v>2025</v>
      </c>
      <c r="C66" s="42">
        <v>53</v>
      </c>
      <c r="D66" s="66" t="str">
        <f t="shared" si="6"/>
        <v>Eliseu é sucessor de Elias</v>
      </c>
      <c r="E66" s="42" t="s">
        <v>203</v>
      </c>
      <c r="F66" s="104" t="s">
        <v>704</v>
      </c>
      <c r="G66" s="95">
        <f t="shared" si="0"/>
        <v>45746</v>
      </c>
      <c r="H66" s="44">
        <f t="shared" ref="H66:H129" si="7">+C65</f>
        <v>52</v>
      </c>
      <c r="I66" s="42" t="s">
        <v>199</v>
      </c>
      <c r="J66" s="42" t="s">
        <v>200</v>
      </c>
      <c r="K66" s="260"/>
      <c r="L66" s="42" t="s">
        <v>578</v>
      </c>
      <c r="M66" s="42" t="s">
        <v>11</v>
      </c>
      <c r="N66" s="42"/>
    </row>
    <row r="67" spans="1:14" s="117" customFormat="1">
      <c r="A67" s="50">
        <v>2</v>
      </c>
      <c r="B67" s="50">
        <v>2025</v>
      </c>
      <c r="C67" s="50">
        <v>54</v>
      </c>
      <c r="D67" s="113" t="str">
        <f t="shared" si="6"/>
        <v>O ministério de Eliseu</v>
      </c>
      <c r="E67" s="50" t="s">
        <v>579</v>
      </c>
      <c r="F67" s="114" t="s">
        <v>700</v>
      </c>
      <c r="G67" s="115">
        <f t="shared" si="0"/>
        <v>45753</v>
      </c>
      <c r="H67" s="116">
        <f t="shared" si="7"/>
        <v>53</v>
      </c>
      <c r="I67" s="50" t="s">
        <v>202</v>
      </c>
      <c r="J67" s="50" t="s">
        <v>203</v>
      </c>
      <c r="K67" s="260"/>
      <c r="L67" s="50" t="s">
        <v>578</v>
      </c>
      <c r="M67" s="50" t="s">
        <v>11</v>
      </c>
      <c r="N67" s="50"/>
    </row>
    <row r="68" spans="1:14">
      <c r="A68" s="42">
        <v>2</v>
      </c>
      <c r="B68" s="42">
        <v>2025</v>
      </c>
      <c r="C68" s="42">
        <v>55</v>
      </c>
      <c r="D68" s="66" t="str">
        <f t="shared" si="6"/>
        <v>Amós e Joel</v>
      </c>
      <c r="E68" s="42" t="s">
        <v>580</v>
      </c>
      <c r="F68" s="104" t="s">
        <v>697</v>
      </c>
      <c r="G68" s="95">
        <f t="shared" si="0"/>
        <v>45760</v>
      </c>
      <c r="H68" s="44">
        <f t="shared" si="7"/>
        <v>54</v>
      </c>
      <c r="I68" s="42" t="s">
        <v>205</v>
      </c>
      <c r="J68" s="42" t="s">
        <v>579</v>
      </c>
      <c r="K68" s="258"/>
      <c r="L68" s="42" t="s">
        <v>578</v>
      </c>
      <c r="M68" s="42" t="s">
        <v>11</v>
      </c>
      <c r="N68" s="42"/>
    </row>
    <row r="69" spans="1:14" ht="15" customHeight="1">
      <c r="A69" s="42">
        <v>2</v>
      </c>
      <c r="B69" s="42">
        <v>2025</v>
      </c>
      <c r="C69" s="42">
        <v>56</v>
      </c>
      <c r="D69" s="66" t="str">
        <f t="shared" si="6"/>
        <v>Jonas</v>
      </c>
      <c r="E69" s="42" t="s">
        <v>210</v>
      </c>
      <c r="F69" s="106" t="s">
        <v>694</v>
      </c>
      <c r="G69" s="95">
        <f t="shared" ref="G69:G132" si="8">+G68+7</f>
        <v>45767</v>
      </c>
      <c r="H69" s="44">
        <f t="shared" si="7"/>
        <v>55</v>
      </c>
      <c r="I69" s="42" t="s">
        <v>711</v>
      </c>
      <c r="J69" s="42" t="s">
        <v>580</v>
      </c>
      <c r="K69" s="261" t="s">
        <v>581</v>
      </c>
      <c r="L69" s="43" t="s">
        <v>249</v>
      </c>
      <c r="M69" s="42" t="s">
        <v>11</v>
      </c>
      <c r="N69" s="42"/>
    </row>
    <row r="70" spans="1:14">
      <c r="A70" s="42">
        <v>2</v>
      </c>
      <c r="B70" s="42">
        <v>2025</v>
      </c>
      <c r="C70" s="42">
        <v>57</v>
      </c>
      <c r="D70" s="65" t="str">
        <f t="shared" si="6"/>
        <v>Oseias</v>
      </c>
      <c r="E70" s="55" t="s">
        <v>582</v>
      </c>
      <c r="F70" s="100" t="s">
        <v>704</v>
      </c>
      <c r="G70" s="93">
        <f t="shared" si="8"/>
        <v>45774</v>
      </c>
      <c r="H70" s="68">
        <f t="shared" si="7"/>
        <v>56</v>
      </c>
      <c r="I70" s="55" t="s">
        <v>210</v>
      </c>
      <c r="J70" s="55" t="s">
        <v>210</v>
      </c>
      <c r="K70" s="261"/>
      <c r="L70" s="44" t="s">
        <v>578</v>
      </c>
      <c r="M70" s="42" t="s">
        <v>11</v>
      </c>
      <c r="N70" s="42"/>
    </row>
    <row r="71" spans="1:14">
      <c r="A71" s="42">
        <v>2</v>
      </c>
      <c r="B71" s="42">
        <v>2025</v>
      </c>
      <c r="C71" s="42">
        <v>58</v>
      </c>
      <c r="D71" s="66" t="str">
        <f>I72</f>
        <v>Miqueias</v>
      </c>
      <c r="E71" s="42" t="s">
        <v>583</v>
      </c>
      <c r="F71" s="104" t="s">
        <v>700</v>
      </c>
      <c r="G71" s="95">
        <f t="shared" si="8"/>
        <v>45781</v>
      </c>
      <c r="H71" s="44">
        <f t="shared" si="7"/>
        <v>57</v>
      </c>
      <c r="I71" s="42" t="s">
        <v>582</v>
      </c>
      <c r="J71" s="42" t="s">
        <v>582</v>
      </c>
      <c r="K71" s="261"/>
      <c r="L71" s="44"/>
      <c r="M71" s="42" t="s">
        <v>11</v>
      </c>
      <c r="N71" s="42"/>
    </row>
    <row r="72" spans="1:14">
      <c r="A72" s="42">
        <v>2</v>
      </c>
      <c r="B72" s="42">
        <v>2025</v>
      </c>
      <c r="C72" s="42">
        <v>59</v>
      </c>
      <c r="D72" s="66" t="str">
        <f t="shared" si="6"/>
        <v>O chamado de Isaias</v>
      </c>
      <c r="E72" s="42" t="s">
        <v>585</v>
      </c>
      <c r="F72" s="104" t="s">
        <v>710</v>
      </c>
      <c r="G72" s="95">
        <f t="shared" si="8"/>
        <v>45788</v>
      </c>
      <c r="H72" s="44">
        <f t="shared" si="7"/>
        <v>58</v>
      </c>
      <c r="I72" s="42" t="s">
        <v>583</v>
      </c>
      <c r="J72" s="42" t="s">
        <v>583</v>
      </c>
      <c r="K72" s="261"/>
      <c r="L72" s="44" t="s">
        <v>578</v>
      </c>
      <c r="M72" s="42" t="s">
        <v>11</v>
      </c>
      <c r="N72" s="42"/>
    </row>
    <row r="73" spans="1:14">
      <c r="A73" s="42">
        <v>2</v>
      </c>
      <c r="B73" s="42">
        <v>2025</v>
      </c>
      <c r="C73" s="42">
        <v>60</v>
      </c>
      <c r="D73" s="66" t="str">
        <f t="shared" si="6"/>
        <v>A mensagem de Isaias</v>
      </c>
      <c r="E73" s="42" t="s">
        <v>585</v>
      </c>
      <c r="F73" s="104" t="s">
        <v>704</v>
      </c>
      <c r="G73" s="95">
        <f t="shared" si="8"/>
        <v>45795</v>
      </c>
      <c r="H73" s="44">
        <f t="shared" si="7"/>
        <v>59</v>
      </c>
      <c r="I73" s="42" t="s">
        <v>584</v>
      </c>
      <c r="J73" s="42" t="s">
        <v>585</v>
      </c>
      <c r="K73" s="261"/>
      <c r="M73" s="42" t="s">
        <v>11</v>
      </c>
      <c r="N73" s="42"/>
    </row>
    <row r="74" spans="1:14">
      <c r="A74" s="42">
        <v>2</v>
      </c>
      <c r="B74" s="42">
        <v>2025</v>
      </c>
      <c r="C74" s="42">
        <v>61</v>
      </c>
      <c r="D74" s="66" t="str">
        <f t="shared" si="6"/>
        <v>Jeroboão II</v>
      </c>
      <c r="E74" s="42" t="s">
        <v>588</v>
      </c>
      <c r="F74" s="106" t="s">
        <v>694</v>
      </c>
      <c r="G74" s="95">
        <f t="shared" si="8"/>
        <v>45802</v>
      </c>
      <c r="H74" s="44">
        <f t="shared" si="7"/>
        <v>60</v>
      </c>
      <c r="I74" s="42" t="s">
        <v>586</v>
      </c>
      <c r="J74" s="42" t="s">
        <v>585</v>
      </c>
      <c r="K74" s="261"/>
      <c r="L74" s="44"/>
      <c r="M74" s="42" t="s">
        <v>11</v>
      </c>
      <c r="N74" s="42"/>
    </row>
    <row r="75" spans="1:14">
      <c r="A75" s="55">
        <v>2</v>
      </c>
      <c r="B75" s="55">
        <v>2025</v>
      </c>
      <c r="C75" s="55">
        <v>62</v>
      </c>
      <c r="D75" s="65" t="str">
        <f>I76</f>
        <v>De Roboão a Acaz</v>
      </c>
      <c r="E75" s="55" t="s">
        <v>591</v>
      </c>
      <c r="F75" s="118" t="s">
        <v>697</v>
      </c>
      <c r="G75" s="93">
        <f t="shared" si="8"/>
        <v>45809</v>
      </c>
      <c r="H75" s="44">
        <f t="shared" si="7"/>
        <v>61</v>
      </c>
      <c r="I75" s="42" t="s">
        <v>587</v>
      </c>
      <c r="J75" s="42" t="s">
        <v>588</v>
      </c>
      <c r="K75" s="266" t="s">
        <v>589</v>
      </c>
      <c r="L75" s="42"/>
      <c r="M75" s="42" t="s">
        <v>11</v>
      </c>
      <c r="N75" s="42"/>
    </row>
    <row r="76" spans="1:14">
      <c r="A76" s="42">
        <v>2</v>
      </c>
      <c r="B76" s="42">
        <v>2025</v>
      </c>
      <c r="C76" s="42"/>
      <c r="D76" s="66" t="str">
        <f t="shared" si="6"/>
        <v>Ezequias</v>
      </c>
      <c r="E76" s="64" t="s">
        <v>594</v>
      </c>
      <c r="F76" s="105"/>
      <c r="G76" s="95">
        <f>+G75+0</f>
        <v>45809</v>
      </c>
      <c r="H76" s="44">
        <f>+C75</f>
        <v>62</v>
      </c>
      <c r="I76" s="41" t="s">
        <v>590</v>
      </c>
      <c r="J76" s="42" t="s">
        <v>591</v>
      </c>
      <c r="K76" s="267"/>
      <c r="L76" s="42" t="s">
        <v>592</v>
      </c>
      <c r="M76" s="42" t="s">
        <v>11</v>
      </c>
      <c r="N76" s="42"/>
    </row>
    <row r="77" spans="1:14">
      <c r="A77" s="42">
        <v>2</v>
      </c>
      <c r="B77" s="42">
        <v>2025</v>
      </c>
      <c r="C77" s="42">
        <v>63</v>
      </c>
      <c r="D77" s="66" t="str">
        <f t="shared" si="6"/>
        <v>Ezequias e Josias - Reforma do templo</v>
      </c>
      <c r="E77" s="41" t="s">
        <v>226</v>
      </c>
      <c r="F77" s="106" t="s">
        <v>700</v>
      </c>
      <c r="G77" s="95">
        <f t="shared" si="8"/>
        <v>45816</v>
      </c>
      <c r="H77" s="44">
        <f t="shared" si="7"/>
        <v>0</v>
      </c>
      <c r="I77" s="41" t="s">
        <v>593</v>
      </c>
      <c r="J77" s="41" t="s">
        <v>594</v>
      </c>
      <c r="K77" s="267"/>
      <c r="L77" s="42" t="s">
        <v>592</v>
      </c>
      <c r="M77" s="42" t="s">
        <v>11</v>
      </c>
      <c r="N77" s="42"/>
    </row>
    <row r="78" spans="1:14">
      <c r="A78" s="42">
        <v>2</v>
      </c>
      <c r="B78" s="42">
        <v>2025</v>
      </c>
      <c r="C78" s="42">
        <f>C77+1</f>
        <v>64</v>
      </c>
      <c r="D78" s="66" t="str">
        <f t="shared" si="6"/>
        <v>O cativeiro Assírio</v>
      </c>
      <c r="E78" s="42" t="s">
        <v>213</v>
      </c>
      <c r="F78" s="104" t="s">
        <v>704</v>
      </c>
      <c r="G78" s="95">
        <f t="shared" si="8"/>
        <v>45823</v>
      </c>
      <c r="H78" s="44">
        <f t="shared" si="7"/>
        <v>63</v>
      </c>
      <c r="I78" s="46" t="s">
        <v>712</v>
      </c>
      <c r="J78" s="41" t="s">
        <v>226</v>
      </c>
      <c r="K78" s="267"/>
      <c r="L78" s="42" t="s">
        <v>592</v>
      </c>
      <c r="M78" s="42" t="s">
        <v>11</v>
      </c>
      <c r="N78" s="42"/>
    </row>
    <row r="79" spans="1:14">
      <c r="A79" s="42">
        <v>2</v>
      </c>
      <c r="B79" s="42">
        <v>2025</v>
      </c>
      <c r="C79" s="42">
        <f t="shared" ref="C79:C94" si="9">C78+1</f>
        <v>65</v>
      </c>
      <c r="D79" s="66" t="str">
        <f t="shared" si="6"/>
        <v>Naum</v>
      </c>
      <c r="E79" s="41" t="s">
        <v>597</v>
      </c>
      <c r="F79" s="104" t="s">
        <v>710</v>
      </c>
      <c r="G79" s="95">
        <f t="shared" si="8"/>
        <v>45830</v>
      </c>
      <c r="H79" s="44">
        <f t="shared" si="7"/>
        <v>64</v>
      </c>
      <c r="I79" s="42" t="s">
        <v>596</v>
      </c>
      <c r="J79" s="42" t="s">
        <v>213</v>
      </c>
      <c r="K79" s="267"/>
      <c r="L79" s="42" t="s">
        <v>212</v>
      </c>
      <c r="M79" s="42" t="s">
        <v>11</v>
      </c>
      <c r="N79" s="42"/>
    </row>
    <row r="80" spans="1:14">
      <c r="A80" s="42">
        <v>2</v>
      </c>
      <c r="B80" s="42">
        <v>2025</v>
      </c>
      <c r="C80" s="42">
        <f t="shared" si="9"/>
        <v>66</v>
      </c>
      <c r="D80" s="66" t="str">
        <f t="shared" si="6"/>
        <v>Sofonias</v>
      </c>
      <c r="E80" s="41" t="s">
        <v>598</v>
      </c>
      <c r="F80" s="106" t="s">
        <v>694</v>
      </c>
      <c r="G80" s="95">
        <f t="shared" si="8"/>
        <v>45837</v>
      </c>
      <c r="H80" s="44">
        <f t="shared" si="7"/>
        <v>65</v>
      </c>
      <c r="I80" s="41" t="s">
        <v>597</v>
      </c>
      <c r="J80" s="41" t="s">
        <v>597</v>
      </c>
      <c r="K80" s="267"/>
      <c r="M80" s="42" t="s">
        <v>11</v>
      </c>
      <c r="N80" s="42"/>
    </row>
    <row r="81" spans="1:14">
      <c r="A81" s="42">
        <v>2</v>
      </c>
      <c r="B81" s="42">
        <v>2025</v>
      </c>
      <c r="C81" s="42">
        <f t="shared" si="9"/>
        <v>67</v>
      </c>
      <c r="D81" s="66" t="str">
        <f t="shared" si="6"/>
        <v xml:space="preserve"> Jeremias, Profeta de Judá</v>
      </c>
      <c r="E81" s="41" t="s">
        <v>231</v>
      </c>
      <c r="F81" s="104" t="s">
        <v>700</v>
      </c>
      <c r="G81" s="95">
        <f t="shared" si="8"/>
        <v>45844</v>
      </c>
      <c r="H81" s="44">
        <f t="shared" si="7"/>
        <v>66</v>
      </c>
      <c r="I81" s="41" t="s">
        <v>598</v>
      </c>
      <c r="J81" s="41" t="s">
        <v>598</v>
      </c>
      <c r="K81" s="267"/>
      <c r="L81" s="42"/>
      <c r="M81" s="42" t="s">
        <v>11</v>
      </c>
      <c r="N81" s="42"/>
    </row>
    <row r="82" spans="1:14">
      <c r="A82" s="42">
        <v>2</v>
      </c>
      <c r="B82" s="42">
        <v>2025</v>
      </c>
      <c r="C82" s="42">
        <f t="shared" si="9"/>
        <v>68</v>
      </c>
      <c r="D82" s="66" t="str">
        <f t="shared" si="6"/>
        <v xml:space="preserve"> Jeremias, Profeta de Judá</v>
      </c>
      <c r="E82" s="41" t="s">
        <v>231</v>
      </c>
      <c r="F82" s="104" t="s">
        <v>697</v>
      </c>
      <c r="G82" s="95">
        <f t="shared" si="8"/>
        <v>45851</v>
      </c>
      <c r="H82" s="44">
        <f t="shared" si="7"/>
        <v>67</v>
      </c>
      <c r="I82" s="41" t="s">
        <v>599</v>
      </c>
      <c r="J82" s="41" t="s">
        <v>231</v>
      </c>
      <c r="K82" s="267"/>
      <c r="L82" s="41" t="s">
        <v>230</v>
      </c>
      <c r="M82" s="42" t="s">
        <v>11</v>
      </c>
      <c r="N82" s="42"/>
    </row>
    <row r="83" spans="1:14">
      <c r="A83" s="42">
        <v>2</v>
      </c>
      <c r="B83" s="42">
        <v>2025</v>
      </c>
      <c r="C83" s="42">
        <f t="shared" si="9"/>
        <v>69</v>
      </c>
      <c r="D83" s="66" t="str">
        <f t="shared" si="6"/>
        <v>Habacuque</v>
      </c>
      <c r="E83" s="42" t="s">
        <v>600</v>
      </c>
      <c r="F83" s="104" t="s">
        <v>704</v>
      </c>
      <c r="G83" s="95">
        <f t="shared" si="8"/>
        <v>45858</v>
      </c>
      <c r="H83" s="44">
        <f t="shared" si="7"/>
        <v>68</v>
      </c>
      <c r="I83" s="41" t="s">
        <v>599</v>
      </c>
      <c r="J83" s="41" t="s">
        <v>231</v>
      </c>
      <c r="K83" s="267"/>
      <c r="L83" s="41" t="s">
        <v>230</v>
      </c>
      <c r="M83" s="42" t="s">
        <v>11</v>
      </c>
      <c r="N83" s="42"/>
    </row>
    <row r="84" spans="1:14">
      <c r="A84" s="42">
        <v>2</v>
      </c>
      <c r="B84" s="42">
        <v>2025</v>
      </c>
      <c r="C84" s="42">
        <f t="shared" si="9"/>
        <v>70</v>
      </c>
      <c r="D84" s="66" t="str">
        <f t="shared" si="6"/>
        <v>Judá é feito cativo</v>
      </c>
      <c r="E84" s="41" t="s">
        <v>234</v>
      </c>
      <c r="F84" s="104" t="s">
        <v>710</v>
      </c>
      <c r="G84" s="95">
        <f t="shared" si="8"/>
        <v>45865</v>
      </c>
      <c r="H84" s="44">
        <f t="shared" si="7"/>
        <v>69</v>
      </c>
      <c r="I84" s="42" t="s">
        <v>600</v>
      </c>
      <c r="J84" s="42" t="s">
        <v>600</v>
      </c>
      <c r="K84" s="267"/>
      <c r="L84" s="42"/>
      <c r="M84" s="42" t="s">
        <v>11</v>
      </c>
      <c r="N84" s="42"/>
    </row>
    <row r="85" spans="1:14">
      <c r="A85" s="42">
        <v>2</v>
      </c>
      <c r="B85" s="42">
        <v>2025</v>
      </c>
      <c r="C85" s="42">
        <f t="shared" si="9"/>
        <v>71</v>
      </c>
      <c r="D85" s="66" t="str">
        <f t="shared" si="6"/>
        <v>Ezequiel</v>
      </c>
      <c r="E85" s="42" t="s">
        <v>602</v>
      </c>
      <c r="F85" s="106" t="s">
        <v>694</v>
      </c>
      <c r="G85" s="95">
        <f t="shared" si="8"/>
        <v>45872</v>
      </c>
      <c r="H85" s="44">
        <f t="shared" si="7"/>
        <v>70</v>
      </c>
      <c r="I85" s="41" t="s">
        <v>601</v>
      </c>
      <c r="J85" s="41" t="s">
        <v>234</v>
      </c>
      <c r="K85" s="267"/>
      <c r="L85" s="42"/>
      <c r="M85" s="42" t="s">
        <v>11</v>
      </c>
      <c r="N85" s="42"/>
    </row>
    <row r="86" spans="1:14">
      <c r="A86" s="42">
        <v>2</v>
      </c>
      <c r="B86" s="42">
        <v>2025</v>
      </c>
      <c r="C86" s="42">
        <f t="shared" si="9"/>
        <v>72</v>
      </c>
      <c r="D86" s="66" t="str">
        <f t="shared" si="6"/>
        <v>A visão dos ossos secos</v>
      </c>
      <c r="E86" s="41" t="s">
        <v>237</v>
      </c>
      <c r="F86" s="104" t="s">
        <v>697</v>
      </c>
      <c r="G86" s="95">
        <f t="shared" si="8"/>
        <v>45879</v>
      </c>
      <c r="H86" s="44">
        <f t="shared" si="7"/>
        <v>71</v>
      </c>
      <c r="I86" s="42" t="s">
        <v>602</v>
      </c>
      <c r="J86" s="42" t="s">
        <v>602</v>
      </c>
      <c r="K86" s="267"/>
      <c r="L86" s="41" t="s">
        <v>233</v>
      </c>
      <c r="M86" s="42" t="s">
        <v>11</v>
      </c>
      <c r="N86" s="42"/>
    </row>
    <row r="87" spans="1:14">
      <c r="A87" s="42">
        <v>2</v>
      </c>
      <c r="B87" s="42">
        <v>2025</v>
      </c>
      <c r="C87" s="42">
        <f t="shared" si="9"/>
        <v>73</v>
      </c>
      <c r="D87" s="66" t="str">
        <f t="shared" si="6"/>
        <v>Obadias</v>
      </c>
      <c r="E87" s="45" t="s">
        <v>250</v>
      </c>
      <c r="F87" s="104" t="s">
        <v>700</v>
      </c>
      <c r="G87" s="95">
        <f t="shared" si="8"/>
        <v>45886</v>
      </c>
      <c r="H87" s="44">
        <f t="shared" si="7"/>
        <v>72</v>
      </c>
      <c r="I87" s="41" t="s">
        <v>236</v>
      </c>
      <c r="J87" s="41" t="s">
        <v>237</v>
      </c>
      <c r="K87" s="268"/>
      <c r="L87" s="42"/>
      <c r="M87" s="42" t="s">
        <v>11</v>
      </c>
      <c r="N87" s="42"/>
    </row>
    <row r="88" spans="1:14">
      <c r="A88" s="42">
        <v>2</v>
      </c>
      <c r="B88" s="42">
        <v>2025</v>
      </c>
      <c r="C88" s="42">
        <f t="shared" si="9"/>
        <v>74</v>
      </c>
      <c r="D88" s="66" t="str">
        <f t="shared" si="6"/>
        <v>A fornalha ardente</v>
      </c>
      <c r="E88" s="41" t="s">
        <v>605</v>
      </c>
      <c r="F88" s="104" t="s">
        <v>704</v>
      </c>
      <c r="G88" s="95">
        <f t="shared" si="8"/>
        <v>45893</v>
      </c>
      <c r="H88" s="44">
        <f t="shared" si="7"/>
        <v>73</v>
      </c>
      <c r="I88" s="45" t="s">
        <v>250</v>
      </c>
      <c r="J88" s="45" t="s">
        <v>250</v>
      </c>
      <c r="K88" s="257" t="s">
        <v>603</v>
      </c>
      <c r="L88" s="41"/>
      <c r="M88" s="42" t="s">
        <v>11</v>
      </c>
      <c r="N88" s="42"/>
    </row>
    <row r="89" spans="1:14">
      <c r="A89" s="42">
        <v>2</v>
      </c>
      <c r="B89" s="42">
        <v>2025</v>
      </c>
      <c r="C89" s="42">
        <f t="shared" si="9"/>
        <v>75</v>
      </c>
      <c r="D89" s="66" t="str">
        <f t="shared" si="6"/>
        <v>O sonho de Nabucodonosor</v>
      </c>
      <c r="E89" s="41" t="s">
        <v>607</v>
      </c>
      <c r="F89" s="104" t="s">
        <v>710</v>
      </c>
      <c r="G89" s="95">
        <f t="shared" si="8"/>
        <v>45900</v>
      </c>
      <c r="H89" s="44">
        <f t="shared" si="7"/>
        <v>74</v>
      </c>
      <c r="I89" s="41" t="s">
        <v>604</v>
      </c>
      <c r="J89" s="41" t="s">
        <v>605</v>
      </c>
      <c r="K89" s="260"/>
      <c r="L89" s="41" t="s">
        <v>240</v>
      </c>
      <c r="M89" s="42" t="s">
        <v>11</v>
      </c>
      <c r="N89" s="42"/>
    </row>
    <row r="90" spans="1:14">
      <c r="A90" s="42">
        <v>2</v>
      </c>
      <c r="B90" s="42">
        <v>2025</v>
      </c>
      <c r="C90" s="42">
        <f t="shared" si="9"/>
        <v>76</v>
      </c>
      <c r="D90" s="66" t="str">
        <f t="shared" si="6"/>
        <v>Daniel na cova dos leões</v>
      </c>
      <c r="E90" s="41" t="s">
        <v>610</v>
      </c>
      <c r="F90" s="106" t="s">
        <v>694</v>
      </c>
      <c r="G90" s="93">
        <f>+G89+14</f>
        <v>45914</v>
      </c>
      <c r="H90" s="44">
        <f t="shared" si="7"/>
        <v>75</v>
      </c>
      <c r="I90" s="46" t="s">
        <v>606</v>
      </c>
      <c r="J90" s="41" t="s">
        <v>607</v>
      </c>
      <c r="K90" s="260"/>
      <c r="L90" s="41" t="s">
        <v>608</v>
      </c>
      <c r="M90" s="42" t="s">
        <v>11</v>
      </c>
      <c r="N90" s="42"/>
    </row>
    <row r="91" spans="1:14">
      <c r="A91" s="42">
        <v>2</v>
      </c>
      <c r="B91" s="42">
        <v>2025</v>
      </c>
      <c r="C91" s="42">
        <f t="shared" si="9"/>
        <v>77</v>
      </c>
      <c r="D91" s="64" t="str">
        <f>I92</f>
        <v>A visão de Daniel</v>
      </c>
      <c r="E91" s="41" t="s">
        <v>247</v>
      </c>
      <c r="F91" s="104" t="s">
        <v>697</v>
      </c>
      <c r="G91" s="95">
        <f t="shared" ref="G91:G104" si="10">+G90+7</f>
        <v>45921</v>
      </c>
      <c r="H91" s="44">
        <f t="shared" si="7"/>
        <v>76</v>
      </c>
      <c r="I91" s="41" t="s">
        <v>609</v>
      </c>
      <c r="J91" s="41" t="s">
        <v>610</v>
      </c>
      <c r="K91" s="260"/>
      <c r="L91" s="41" t="s">
        <v>611</v>
      </c>
      <c r="M91" s="42" t="s">
        <v>11</v>
      </c>
      <c r="N91" s="42"/>
    </row>
    <row r="92" spans="1:14">
      <c r="A92" s="42">
        <v>2</v>
      </c>
      <c r="B92" s="42">
        <v>2025</v>
      </c>
      <c r="C92" s="42">
        <f t="shared" si="9"/>
        <v>78</v>
      </c>
      <c r="D92" s="66" t="str">
        <f t="shared" si="6"/>
        <v>O Retorno dos Exilados</v>
      </c>
      <c r="E92" s="41" t="s">
        <v>253</v>
      </c>
      <c r="F92" s="104" t="s">
        <v>700</v>
      </c>
      <c r="G92" s="95">
        <f t="shared" si="10"/>
        <v>45928</v>
      </c>
      <c r="H92" s="44">
        <f t="shared" si="7"/>
        <v>77</v>
      </c>
      <c r="I92" s="41" t="s">
        <v>612</v>
      </c>
      <c r="J92" s="41" t="s">
        <v>247</v>
      </c>
      <c r="K92" s="258"/>
      <c r="L92" s="41"/>
      <c r="M92" s="42" t="s">
        <v>11</v>
      </c>
      <c r="N92" s="42"/>
    </row>
    <row r="93" spans="1:14">
      <c r="A93" s="42">
        <v>2</v>
      </c>
      <c r="B93" s="42">
        <v>2025</v>
      </c>
      <c r="C93" s="42">
        <f t="shared" si="9"/>
        <v>79</v>
      </c>
      <c r="D93" s="66" t="str">
        <f t="shared" si="6"/>
        <v>A reconstrução do templo</v>
      </c>
      <c r="E93" s="41" t="s">
        <v>257</v>
      </c>
      <c r="F93" s="104" t="s">
        <v>704</v>
      </c>
      <c r="G93" s="95">
        <f t="shared" si="10"/>
        <v>45935</v>
      </c>
      <c r="H93" s="44">
        <f t="shared" si="7"/>
        <v>78</v>
      </c>
      <c r="I93" s="41" t="s">
        <v>613</v>
      </c>
      <c r="J93" s="41" t="s">
        <v>253</v>
      </c>
      <c r="K93" s="257" t="s">
        <v>614</v>
      </c>
      <c r="L93" s="41"/>
      <c r="M93" s="42" t="s">
        <v>11</v>
      </c>
      <c r="N93" s="42"/>
    </row>
    <row r="94" spans="1:14">
      <c r="A94" s="42">
        <v>2</v>
      </c>
      <c r="B94" s="42">
        <v>2025</v>
      </c>
      <c r="C94" s="42">
        <f t="shared" si="9"/>
        <v>80</v>
      </c>
      <c r="D94" s="66" t="str">
        <f t="shared" si="6"/>
        <v>A promessa de um rei que vem – Zacarias, o profeta</v>
      </c>
      <c r="E94" s="41" t="s">
        <v>260</v>
      </c>
      <c r="F94" s="104" t="s">
        <v>710</v>
      </c>
      <c r="G94" s="95">
        <f t="shared" si="10"/>
        <v>45942</v>
      </c>
      <c r="H94" s="44">
        <f t="shared" si="7"/>
        <v>79</v>
      </c>
      <c r="I94" s="41" t="s">
        <v>615</v>
      </c>
      <c r="J94" s="41" t="s">
        <v>257</v>
      </c>
      <c r="K94" s="260"/>
      <c r="L94" s="41"/>
      <c r="M94" s="42" t="s">
        <v>11</v>
      </c>
      <c r="N94" s="42"/>
    </row>
    <row r="95" spans="1:14">
      <c r="A95" s="42">
        <v>2</v>
      </c>
      <c r="B95" s="42">
        <v>2025</v>
      </c>
      <c r="C95" s="42">
        <v>82</v>
      </c>
      <c r="D95" s="66" t="str">
        <f t="shared" si="6"/>
        <v>Celebrando o livramento do Senhor</v>
      </c>
      <c r="E95" s="41" t="s">
        <v>616</v>
      </c>
      <c r="F95" s="104"/>
      <c r="G95" s="95">
        <f t="shared" si="10"/>
        <v>45949</v>
      </c>
      <c r="H95" s="44">
        <f t="shared" si="7"/>
        <v>80</v>
      </c>
      <c r="I95" s="41" t="s">
        <v>259</v>
      </c>
      <c r="J95" s="41" t="s">
        <v>260</v>
      </c>
      <c r="K95" s="258"/>
      <c r="L95" s="41"/>
      <c r="M95" s="42" t="s">
        <v>11</v>
      </c>
      <c r="N95" s="42"/>
    </row>
    <row r="96" spans="1:14">
      <c r="A96" s="42">
        <v>2</v>
      </c>
      <c r="B96" s="42">
        <v>2025</v>
      </c>
      <c r="C96" s="42">
        <v>83</v>
      </c>
      <c r="D96" s="66" t="str">
        <f t="shared" si="6"/>
        <v>Celebrando o livramento do Senhor</v>
      </c>
      <c r="E96" s="41" t="s">
        <v>616</v>
      </c>
      <c r="F96" s="104"/>
      <c r="G96" s="95">
        <f t="shared" si="10"/>
        <v>45956</v>
      </c>
      <c r="H96" s="44">
        <f t="shared" si="7"/>
        <v>82</v>
      </c>
      <c r="I96" s="41" t="s">
        <v>262</v>
      </c>
      <c r="J96" s="41" t="s">
        <v>616</v>
      </c>
      <c r="K96" s="257" t="s">
        <v>617</v>
      </c>
      <c r="L96" s="41"/>
      <c r="M96" s="42" t="s">
        <v>11</v>
      </c>
      <c r="N96" s="42"/>
    </row>
    <row r="97" spans="1:14">
      <c r="A97" s="42">
        <v>2</v>
      </c>
      <c r="B97" s="42">
        <v>2025</v>
      </c>
      <c r="C97" s="42">
        <v>84</v>
      </c>
      <c r="D97" s="66" t="str">
        <f t="shared" si="6"/>
        <v>Jó</v>
      </c>
      <c r="E97" s="42" t="s">
        <v>618</v>
      </c>
      <c r="F97" s="104"/>
      <c r="G97" s="95">
        <f t="shared" si="10"/>
        <v>45963</v>
      </c>
      <c r="H97" s="44">
        <f t="shared" si="7"/>
        <v>83</v>
      </c>
      <c r="I97" s="41" t="s">
        <v>262</v>
      </c>
      <c r="J97" s="41" t="s">
        <v>616</v>
      </c>
      <c r="K97" s="260"/>
      <c r="L97" s="41"/>
      <c r="M97" s="42" t="s">
        <v>11</v>
      </c>
      <c r="N97" s="42"/>
    </row>
    <row r="98" spans="1:14">
      <c r="A98" s="42">
        <v>2</v>
      </c>
      <c r="B98" s="42">
        <v>2025</v>
      </c>
      <c r="C98" s="42">
        <v>85</v>
      </c>
      <c r="D98" s="66" t="str">
        <f t="shared" si="6"/>
        <v>Jó</v>
      </c>
      <c r="E98" s="42" t="s">
        <v>618</v>
      </c>
      <c r="F98" s="104"/>
      <c r="G98" s="95">
        <f t="shared" si="10"/>
        <v>45970</v>
      </c>
      <c r="H98" s="68">
        <f t="shared" si="7"/>
        <v>84</v>
      </c>
      <c r="I98" s="55" t="s">
        <v>618</v>
      </c>
      <c r="J98" s="55" t="s">
        <v>618</v>
      </c>
      <c r="K98" s="260"/>
      <c r="L98" s="41"/>
      <c r="M98" s="42" t="s">
        <v>11</v>
      </c>
      <c r="N98" s="42"/>
    </row>
    <row r="99" spans="1:14">
      <c r="A99" s="42">
        <v>2</v>
      </c>
      <c r="B99" s="42">
        <v>2025</v>
      </c>
      <c r="C99" s="42">
        <v>86</v>
      </c>
      <c r="D99" s="66" t="str">
        <f t="shared" si="6"/>
        <v>Deus protege seu povo através de um copeiro – As muralhas reconstruídas</v>
      </c>
      <c r="E99" s="41" t="s">
        <v>268</v>
      </c>
      <c r="F99" s="104"/>
      <c r="G99" s="95">
        <f t="shared" si="10"/>
        <v>45977</v>
      </c>
      <c r="H99" s="68">
        <f t="shared" si="7"/>
        <v>85</v>
      </c>
      <c r="I99" s="55" t="s">
        <v>618</v>
      </c>
      <c r="J99" s="55" t="s">
        <v>618</v>
      </c>
      <c r="K99" s="260"/>
      <c r="L99" s="41"/>
      <c r="M99" s="42" t="s">
        <v>11</v>
      </c>
      <c r="N99" s="42"/>
    </row>
    <row r="100" spans="1:14">
      <c r="A100" s="42">
        <v>2</v>
      </c>
      <c r="B100" s="42">
        <v>2025</v>
      </c>
      <c r="C100" s="42">
        <v>87</v>
      </c>
      <c r="D100" s="66" t="str">
        <f t="shared" si="6"/>
        <v>Deus revive seu povo através de um escriba – O povo de Deus se arrepende</v>
      </c>
      <c r="E100" s="41" t="s">
        <v>271</v>
      </c>
      <c r="F100" s="104"/>
      <c r="G100" s="95">
        <f t="shared" si="10"/>
        <v>45984</v>
      </c>
      <c r="H100" s="44">
        <f t="shared" si="7"/>
        <v>86</v>
      </c>
      <c r="I100" s="41" t="s">
        <v>267</v>
      </c>
      <c r="J100" s="41" t="s">
        <v>268</v>
      </c>
      <c r="K100" s="260"/>
      <c r="L100" s="41"/>
      <c r="M100" s="42" t="s">
        <v>11</v>
      </c>
      <c r="N100" s="42"/>
    </row>
    <row r="101" spans="1:14">
      <c r="A101" s="42">
        <v>2</v>
      </c>
      <c r="B101" s="42">
        <v>2025</v>
      </c>
      <c r="C101" s="42">
        <v>88</v>
      </c>
      <c r="D101" s="66" t="str">
        <f t="shared" si="6"/>
        <v>Deus adverte seu povo através de um profeta</v>
      </c>
      <c r="E101" s="41" t="s">
        <v>716</v>
      </c>
      <c r="F101" s="104"/>
      <c r="G101" s="95">
        <f t="shared" si="10"/>
        <v>45991</v>
      </c>
      <c r="H101" s="44">
        <f t="shared" si="7"/>
        <v>87</v>
      </c>
      <c r="I101" s="41" t="s">
        <v>270</v>
      </c>
      <c r="J101" s="41" t="s">
        <v>271</v>
      </c>
      <c r="K101" s="260"/>
      <c r="L101" s="41"/>
      <c r="M101" s="42" t="s">
        <v>11</v>
      </c>
      <c r="N101" s="42"/>
    </row>
    <row r="102" spans="1:14">
      <c r="A102" s="42">
        <v>2</v>
      </c>
      <c r="B102" s="42">
        <v>2025</v>
      </c>
      <c r="C102" s="42">
        <v>89</v>
      </c>
      <c r="D102" s="66"/>
      <c r="E102" s="42"/>
      <c r="F102" s="104"/>
      <c r="G102" s="95">
        <f t="shared" si="10"/>
        <v>45998</v>
      </c>
      <c r="H102" s="44">
        <f t="shared" si="7"/>
        <v>88</v>
      </c>
      <c r="I102" s="41" t="s">
        <v>274</v>
      </c>
      <c r="J102" s="41" t="s">
        <v>275</v>
      </c>
      <c r="K102" s="258"/>
      <c r="L102" s="41"/>
      <c r="M102" s="42" t="s">
        <v>11</v>
      </c>
      <c r="N102" s="42"/>
    </row>
    <row r="103" spans="1:14">
      <c r="A103" s="42">
        <v>2</v>
      </c>
      <c r="B103" s="42">
        <v>2025</v>
      </c>
      <c r="C103" s="42">
        <v>90</v>
      </c>
      <c r="D103" s="66" t="str">
        <f t="shared" si="6"/>
        <v>Nascimento de Jesus</v>
      </c>
      <c r="E103" s="42"/>
      <c r="F103" s="104"/>
      <c r="G103" s="95">
        <f t="shared" si="10"/>
        <v>46005</v>
      </c>
      <c r="H103" s="44">
        <f t="shared" si="7"/>
        <v>89</v>
      </c>
      <c r="I103" s="3" t="s">
        <v>717</v>
      </c>
      <c r="J103" s="41"/>
      <c r="K103" s="41" t="s">
        <v>619</v>
      </c>
      <c r="L103" s="41"/>
      <c r="M103" s="42"/>
      <c r="N103" s="42"/>
    </row>
    <row r="104" spans="1:14">
      <c r="A104" s="42">
        <v>2</v>
      </c>
      <c r="B104" s="42">
        <v>2025</v>
      </c>
      <c r="C104" s="42">
        <v>91</v>
      </c>
      <c r="D104" s="122" t="str">
        <f>I107</f>
        <v>Evangelhos</v>
      </c>
      <c r="E104" s="123"/>
      <c r="F104" s="103"/>
      <c r="G104" s="95">
        <f t="shared" si="10"/>
        <v>46012</v>
      </c>
      <c r="H104" s="44">
        <f t="shared" si="7"/>
        <v>90</v>
      </c>
      <c r="I104" s="41" t="s">
        <v>620</v>
      </c>
      <c r="J104" s="41" t="s">
        <v>621</v>
      </c>
      <c r="K104" s="41"/>
      <c r="L104" s="41"/>
      <c r="M104" s="41" t="s">
        <v>227</v>
      </c>
      <c r="N104" s="42"/>
    </row>
    <row r="105" spans="1:14">
      <c r="A105" s="42">
        <v>2</v>
      </c>
      <c r="B105" s="42">
        <v>2025</v>
      </c>
      <c r="C105" s="42"/>
      <c r="D105" s="3" t="s">
        <v>429</v>
      </c>
      <c r="E105" s="42"/>
      <c r="F105" s="104"/>
      <c r="G105" s="95">
        <f t="shared" si="8"/>
        <v>46019</v>
      </c>
      <c r="H105" s="44">
        <f t="shared" si="7"/>
        <v>91</v>
      </c>
      <c r="I105" s="3" t="s">
        <v>429</v>
      </c>
      <c r="J105" s="41"/>
      <c r="K105" s="41"/>
      <c r="L105" s="41"/>
      <c r="M105" s="41"/>
      <c r="N105" s="42"/>
    </row>
    <row r="106" spans="1:14">
      <c r="A106" s="42">
        <v>2</v>
      </c>
      <c r="B106" s="42">
        <v>2025</v>
      </c>
      <c r="C106" s="42"/>
      <c r="D106" s="3" t="s">
        <v>430</v>
      </c>
      <c r="E106" s="42"/>
      <c r="F106" s="104"/>
      <c r="G106" s="95">
        <f t="shared" si="8"/>
        <v>46026</v>
      </c>
      <c r="H106" s="44">
        <f t="shared" si="7"/>
        <v>0</v>
      </c>
      <c r="I106" s="3" t="s">
        <v>430</v>
      </c>
      <c r="J106" s="42"/>
      <c r="K106" s="41"/>
      <c r="L106" s="41"/>
      <c r="M106" s="41"/>
      <c r="N106" s="42"/>
    </row>
    <row r="107" spans="1:14">
      <c r="A107" s="42">
        <v>3</v>
      </c>
      <c r="B107" s="42">
        <v>2026</v>
      </c>
      <c r="C107" s="42">
        <v>92</v>
      </c>
      <c r="D107" s="64" t="str">
        <f>I108</f>
        <v>Evangelhos</v>
      </c>
      <c r="E107" s="41" t="s">
        <v>622</v>
      </c>
      <c r="F107" s="103"/>
      <c r="G107" s="95">
        <f t="shared" si="8"/>
        <v>46033</v>
      </c>
      <c r="H107" s="44">
        <f t="shared" si="7"/>
        <v>0</v>
      </c>
      <c r="I107" s="41" t="s">
        <v>131</v>
      </c>
      <c r="J107" s="41" t="s">
        <v>622</v>
      </c>
      <c r="K107" s="257" t="s">
        <v>131</v>
      </c>
      <c r="L107" s="41"/>
      <c r="M107" s="41" t="s">
        <v>227</v>
      </c>
      <c r="N107" s="42"/>
    </row>
    <row r="108" spans="1:14">
      <c r="A108" s="42">
        <v>3</v>
      </c>
      <c r="B108" s="42">
        <v>2026</v>
      </c>
      <c r="C108" s="42">
        <v>93</v>
      </c>
      <c r="D108" s="64" t="str">
        <f t="shared" ref="D108:D154" si="11">I109</f>
        <v>Evangelhos</v>
      </c>
      <c r="E108" s="41" t="s">
        <v>623</v>
      </c>
      <c r="F108" s="103"/>
      <c r="G108" s="95">
        <f t="shared" si="8"/>
        <v>46040</v>
      </c>
      <c r="H108" s="44">
        <f t="shared" si="7"/>
        <v>92</v>
      </c>
      <c r="I108" s="41" t="s">
        <v>131</v>
      </c>
      <c r="J108" s="41" t="s">
        <v>623</v>
      </c>
      <c r="K108" s="260"/>
      <c r="L108" s="41"/>
      <c r="M108" s="41" t="s">
        <v>227</v>
      </c>
      <c r="N108" s="42"/>
    </row>
    <row r="109" spans="1:14">
      <c r="A109" s="42">
        <v>3</v>
      </c>
      <c r="B109" s="42">
        <v>2026</v>
      </c>
      <c r="C109" s="42">
        <v>94</v>
      </c>
      <c r="D109" s="64" t="str">
        <f t="shared" si="11"/>
        <v>Evangelhos</v>
      </c>
      <c r="E109" s="41" t="s">
        <v>624</v>
      </c>
      <c r="F109" s="103"/>
      <c r="G109" s="95">
        <f t="shared" si="8"/>
        <v>46047</v>
      </c>
      <c r="H109" s="44">
        <f t="shared" si="7"/>
        <v>93</v>
      </c>
      <c r="I109" s="41" t="s">
        <v>131</v>
      </c>
      <c r="J109" s="41" t="s">
        <v>624</v>
      </c>
      <c r="K109" s="260"/>
      <c r="L109" s="41"/>
      <c r="M109" s="41" t="s">
        <v>227</v>
      </c>
      <c r="N109" s="42"/>
    </row>
    <row r="110" spans="1:14">
      <c r="A110" s="42">
        <v>3</v>
      </c>
      <c r="B110" s="42">
        <v>2026</v>
      </c>
      <c r="C110" s="42">
        <v>95</v>
      </c>
      <c r="D110" s="64" t="str">
        <f t="shared" si="11"/>
        <v>Evangelhos</v>
      </c>
      <c r="E110" s="41" t="s">
        <v>625</v>
      </c>
      <c r="F110" s="103"/>
      <c r="G110" s="95">
        <f t="shared" si="8"/>
        <v>46054</v>
      </c>
      <c r="H110" s="44">
        <f t="shared" si="7"/>
        <v>94</v>
      </c>
      <c r="I110" s="41" t="s">
        <v>131</v>
      </c>
      <c r="J110" s="41" t="s">
        <v>625</v>
      </c>
      <c r="K110" s="260"/>
      <c r="L110" s="41"/>
      <c r="M110" s="41" t="s">
        <v>227</v>
      </c>
      <c r="N110" s="42"/>
    </row>
    <row r="111" spans="1:14">
      <c r="A111" s="42">
        <v>3</v>
      </c>
      <c r="B111" s="42">
        <v>2026</v>
      </c>
      <c r="C111" s="42">
        <v>96</v>
      </c>
      <c r="D111" s="64" t="str">
        <f t="shared" si="11"/>
        <v>Evangelhos</v>
      </c>
      <c r="E111" s="41" t="s">
        <v>626</v>
      </c>
      <c r="F111" s="103"/>
      <c r="G111" s="95">
        <f t="shared" si="8"/>
        <v>46061</v>
      </c>
      <c r="H111" s="44">
        <f t="shared" si="7"/>
        <v>95</v>
      </c>
      <c r="I111" s="41" t="s">
        <v>131</v>
      </c>
      <c r="J111" s="41" t="s">
        <v>626</v>
      </c>
      <c r="K111" s="260"/>
      <c r="L111" s="41"/>
      <c r="M111" s="41" t="s">
        <v>227</v>
      </c>
      <c r="N111" s="41" t="s">
        <v>627</v>
      </c>
    </row>
    <row r="112" spans="1:14">
      <c r="A112" s="42">
        <v>3</v>
      </c>
      <c r="B112" s="42">
        <v>2026</v>
      </c>
      <c r="C112" s="42">
        <v>97</v>
      </c>
      <c r="D112" s="64" t="str">
        <f t="shared" si="11"/>
        <v>Feriado de Carnaval</v>
      </c>
      <c r="E112" s="124" t="s">
        <v>718</v>
      </c>
      <c r="F112" s="103"/>
      <c r="G112" s="95">
        <f t="shared" si="8"/>
        <v>46068</v>
      </c>
      <c r="H112" s="44">
        <f t="shared" si="7"/>
        <v>96</v>
      </c>
      <c r="I112" s="41" t="s">
        <v>131</v>
      </c>
      <c r="J112" s="41" t="s">
        <v>628</v>
      </c>
      <c r="K112" s="260"/>
      <c r="L112" s="41"/>
      <c r="M112" s="41" t="s">
        <v>227</v>
      </c>
      <c r="N112" s="42"/>
    </row>
    <row r="113" spans="1:14">
      <c r="A113" s="42">
        <v>3</v>
      </c>
      <c r="B113" s="42">
        <v>2026</v>
      </c>
      <c r="C113" s="42">
        <v>98</v>
      </c>
      <c r="D113" s="64" t="str">
        <f t="shared" si="11"/>
        <v>Evangelhos</v>
      </c>
      <c r="E113" s="41" t="s">
        <v>628</v>
      </c>
      <c r="F113" s="103"/>
      <c r="G113" s="95">
        <f>+G112+7</f>
        <v>46075</v>
      </c>
      <c r="H113" s="44">
        <f t="shared" si="7"/>
        <v>97</v>
      </c>
      <c r="I113" s="3" t="s">
        <v>575</v>
      </c>
      <c r="J113" s="41" t="s">
        <v>629</v>
      </c>
      <c r="K113" s="260"/>
      <c r="L113" s="41"/>
      <c r="M113" s="41" t="s">
        <v>227</v>
      </c>
      <c r="N113" s="42"/>
    </row>
    <row r="114" spans="1:14">
      <c r="A114" s="42">
        <v>3</v>
      </c>
      <c r="B114" s="42">
        <v>2026</v>
      </c>
      <c r="C114" s="42">
        <v>99</v>
      </c>
      <c r="D114" s="64" t="str">
        <f t="shared" si="11"/>
        <v>Evangelhos</v>
      </c>
      <c r="E114" s="41" t="s">
        <v>629</v>
      </c>
      <c r="F114" s="103"/>
      <c r="G114" s="95">
        <f t="shared" si="8"/>
        <v>46082</v>
      </c>
      <c r="H114" s="44">
        <f t="shared" si="7"/>
        <v>98</v>
      </c>
      <c r="I114" s="41" t="s">
        <v>131</v>
      </c>
      <c r="J114" s="41"/>
      <c r="K114" s="260"/>
      <c r="L114" s="41"/>
      <c r="M114" s="41" t="s">
        <v>227</v>
      </c>
      <c r="N114" s="42"/>
    </row>
    <row r="115" spans="1:14">
      <c r="A115" s="42">
        <v>3</v>
      </c>
      <c r="B115" s="42">
        <v>2026</v>
      </c>
      <c r="C115" s="42">
        <v>100</v>
      </c>
      <c r="D115" s="64" t="str">
        <f t="shared" si="11"/>
        <v>Transformados pelo Espírito Santo</v>
      </c>
      <c r="E115" s="41" t="s">
        <v>630</v>
      </c>
      <c r="F115" s="103"/>
      <c r="G115" s="95">
        <f t="shared" si="8"/>
        <v>46089</v>
      </c>
      <c r="H115" s="44">
        <f t="shared" si="7"/>
        <v>99</v>
      </c>
      <c r="I115" s="41" t="s">
        <v>131</v>
      </c>
      <c r="J115" s="41"/>
      <c r="K115" s="258"/>
      <c r="L115" s="41"/>
      <c r="M115" s="41" t="s">
        <v>227</v>
      </c>
      <c r="N115" s="42"/>
    </row>
    <row r="116" spans="1:14">
      <c r="A116" s="42">
        <v>3</v>
      </c>
      <c r="B116" s="42">
        <v>2026</v>
      </c>
      <c r="C116" s="42">
        <v>101</v>
      </c>
      <c r="D116" s="64" t="str">
        <f t="shared" si="11"/>
        <v>Vida Comum na Igreja
Curas, Pregação e Perseguição</v>
      </c>
      <c r="E116" s="41" t="s">
        <v>632</v>
      </c>
      <c r="F116" s="103"/>
      <c r="G116" s="95">
        <f t="shared" si="8"/>
        <v>46096</v>
      </c>
      <c r="H116" s="44">
        <f t="shared" si="7"/>
        <v>100</v>
      </c>
      <c r="I116" s="48" t="s">
        <v>309</v>
      </c>
      <c r="J116" s="41" t="s">
        <v>630</v>
      </c>
      <c r="K116" s="257" t="s">
        <v>631</v>
      </c>
      <c r="L116" s="41"/>
      <c r="M116" s="41" t="s">
        <v>227</v>
      </c>
      <c r="N116" s="42"/>
    </row>
    <row r="117" spans="1:14">
      <c r="A117" s="42">
        <v>3</v>
      </c>
      <c r="B117" s="42">
        <v>2026</v>
      </c>
      <c r="C117" s="42">
        <v>102</v>
      </c>
      <c r="D117" s="64" t="str">
        <f t="shared" si="11"/>
        <v>O sermão de Estêvão</v>
      </c>
      <c r="E117" s="41" t="s">
        <v>633</v>
      </c>
      <c r="F117" s="103"/>
      <c r="G117" s="95">
        <f t="shared" si="8"/>
        <v>46103</v>
      </c>
      <c r="H117" s="44">
        <f t="shared" si="7"/>
        <v>101</v>
      </c>
      <c r="I117" s="41" t="s">
        <v>312</v>
      </c>
      <c r="J117" s="41" t="s">
        <v>632</v>
      </c>
      <c r="K117" s="260"/>
      <c r="L117" s="41"/>
      <c r="M117" s="41" t="s">
        <v>227</v>
      </c>
      <c r="N117" s="42"/>
    </row>
    <row r="118" spans="1:14">
      <c r="A118" s="42">
        <v>3</v>
      </c>
      <c r="B118" s="42">
        <v>2026</v>
      </c>
      <c r="C118" s="42">
        <v>103</v>
      </c>
      <c r="D118" s="64" t="str">
        <f t="shared" si="11"/>
        <v>O testemunho de Filipe fora de Jerusalém</v>
      </c>
      <c r="E118" s="41" t="s">
        <v>319</v>
      </c>
      <c r="F118" s="103"/>
      <c r="G118" s="95">
        <f t="shared" si="8"/>
        <v>46110</v>
      </c>
      <c r="H118" s="44">
        <f t="shared" si="7"/>
        <v>102</v>
      </c>
      <c r="I118" s="41" t="s">
        <v>315</v>
      </c>
      <c r="J118" s="41" t="s">
        <v>633</v>
      </c>
      <c r="K118" s="260"/>
      <c r="L118" s="41"/>
      <c r="M118" s="41" t="s">
        <v>227</v>
      </c>
      <c r="N118" s="42"/>
    </row>
    <row r="119" spans="1:14">
      <c r="A119" s="42">
        <v>3</v>
      </c>
      <c r="B119" s="42">
        <v>2026</v>
      </c>
      <c r="C119" s="42">
        <v>104</v>
      </c>
      <c r="D119" s="64" t="str">
        <f t="shared" si="11"/>
        <v>Domingo de Páscoa</v>
      </c>
      <c r="E119" s="41"/>
      <c r="F119" s="103"/>
      <c r="G119" s="95">
        <f t="shared" si="8"/>
        <v>46117</v>
      </c>
      <c r="H119" s="44">
        <f t="shared" si="7"/>
        <v>103</v>
      </c>
      <c r="I119" s="41" t="s">
        <v>318</v>
      </c>
      <c r="J119" s="41" t="s">
        <v>319</v>
      </c>
      <c r="K119" s="258"/>
      <c r="L119" s="41"/>
      <c r="M119" s="41" t="s">
        <v>227</v>
      </c>
      <c r="N119" s="42"/>
    </row>
    <row r="120" spans="1:14">
      <c r="A120" s="42">
        <v>3</v>
      </c>
      <c r="B120" s="42">
        <v>2026</v>
      </c>
      <c r="C120" s="42">
        <v>105</v>
      </c>
      <c r="D120" s="64" t="str">
        <f t="shared" si="11"/>
        <v>A conversão de Saulo</v>
      </c>
      <c r="E120" s="41" t="s">
        <v>634</v>
      </c>
      <c r="F120" s="103"/>
      <c r="G120" s="95">
        <f t="shared" si="8"/>
        <v>46124</v>
      </c>
      <c r="H120" s="44">
        <f t="shared" si="7"/>
        <v>104</v>
      </c>
      <c r="I120" s="3" t="s">
        <v>475</v>
      </c>
      <c r="J120" s="41"/>
      <c r="K120" s="41"/>
      <c r="L120" s="41"/>
      <c r="M120" s="41"/>
      <c r="N120" s="42"/>
    </row>
    <row r="121" spans="1:14">
      <c r="A121" s="42">
        <v>3</v>
      </c>
      <c r="B121" s="42">
        <v>2026</v>
      </c>
      <c r="C121" s="42">
        <v>106</v>
      </c>
      <c r="D121" s="64" t="str">
        <f t="shared" si="11"/>
        <v>A igreja é enviada a todos (Pedro e Cornélio) + Barnabé em Antioquia</v>
      </c>
      <c r="E121" s="41" t="s">
        <v>636</v>
      </c>
      <c r="F121" s="103"/>
      <c r="G121" s="95">
        <f t="shared" si="8"/>
        <v>46131</v>
      </c>
      <c r="H121" s="44">
        <f t="shared" si="7"/>
        <v>105</v>
      </c>
      <c r="I121" s="41" t="s">
        <v>322</v>
      </c>
      <c r="J121" s="41" t="s">
        <v>634</v>
      </c>
      <c r="K121" s="257" t="s">
        <v>635</v>
      </c>
      <c r="L121" s="41"/>
      <c r="M121" s="41" t="s">
        <v>227</v>
      </c>
      <c r="N121" s="42"/>
    </row>
    <row r="122" spans="1:14">
      <c r="A122" s="42">
        <v>3</v>
      </c>
      <c r="B122" s="42">
        <v>2026</v>
      </c>
      <c r="C122" s="42">
        <v>107</v>
      </c>
      <c r="D122" s="64" t="str">
        <f t="shared" si="11"/>
        <v>A igreja de Jerusalém é perseguida</v>
      </c>
      <c r="E122" s="41" t="s">
        <v>637</v>
      </c>
      <c r="F122" s="103"/>
      <c r="G122" s="95">
        <f t="shared" si="8"/>
        <v>46138</v>
      </c>
      <c r="H122" s="44">
        <f t="shared" si="7"/>
        <v>106</v>
      </c>
      <c r="I122" s="41" t="s">
        <v>325</v>
      </c>
      <c r="J122" s="41" t="s">
        <v>636</v>
      </c>
      <c r="K122" s="260"/>
      <c r="L122" s="41"/>
      <c r="M122" s="41" t="s">
        <v>227</v>
      </c>
      <c r="N122" s="42"/>
    </row>
    <row r="123" spans="1:14">
      <c r="A123" s="42">
        <v>3</v>
      </c>
      <c r="B123" s="42">
        <v>2026</v>
      </c>
      <c r="C123" s="42">
        <v>108</v>
      </c>
      <c r="D123" s="64" t="str">
        <f t="shared" si="11"/>
        <v>A primeira viagem missionária de Paulo</v>
      </c>
      <c r="E123" s="41" t="s">
        <v>638</v>
      </c>
      <c r="F123" s="103"/>
      <c r="G123" s="95">
        <f t="shared" si="8"/>
        <v>46145</v>
      </c>
      <c r="H123" s="44">
        <f t="shared" si="7"/>
        <v>107</v>
      </c>
      <c r="I123" s="41" t="s">
        <v>328</v>
      </c>
      <c r="J123" s="41" t="s">
        <v>637</v>
      </c>
      <c r="K123" s="258"/>
      <c r="L123" s="41"/>
      <c r="M123" s="41" t="s">
        <v>227</v>
      </c>
      <c r="N123" s="42"/>
    </row>
    <row r="124" spans="1:14">
      <c r="A124" s="42">
        <v>3</v>
      </c>
      <c r="B124" s="42">
        <v>2026</v>
      </c>
      <c r="C124" s="42">
        <v>109</v>
      </c>
      <c r="D124" s="64" t="str">
        <f t="shared" si="11"/>
        <v>O Concílio de Jerusalém</v>
      </c>
      <c r="E124" s="41" t="s">
        <v>640</v>
      </c>
      <c r="F124" s="103"/>
      <c r="G124" s="95">
        <f t="shared" si="8"/>
        <v>46152</v>
      </c>
      <c r="H124" s="44">
        <f t="shared" si="7"/>
        <v>108</v>
      </c>
      <c r="I124" s="41" t="s">
        <v>332</v>
      </c>
      <c r="J124" s="41" t="s">
        <v>638</v>
      </c>
      <c r="K124" s="257" t="s">
        <v>639</v>
      </c>
      <c r="L124" s="41"/>
      <c r="M124" s="41" t="s">
        <v>227</v>
      </c>
      <c r="N124" s="42"/>
    </row>
    <row r="125" spans="1:14">
      <c r="A125" s="42">
        <v>3</v>
      </c>
      <c r="B125" s="42">
        <v>2026</v>
      </c>
      <c r="C125" s="42">
        <v>110</v>
      </c>
      <c r="D125" s="64" t="str">
        <f t="shared" si="11"/>
        <v>A segunda viagem missionária de Paulo</v>
      </c>
      <c r="E125" s="41" t="s">
        <v>641</v>
      </c>
      <c r="F125" s="103"/>
      <c r="G125" s="95">
        <f t="shared" si="8"/>
        <v>46159</v>
      </c>
      <c r="H125" s="44">
        <f t="shared" si="7"/>
        <v>109</v>
      </c>
      <c r="I125" s="41" t="s">
        <v>335</v>
      </c>
      <c r="J125" s="41" t="s">
        <v>640</v>
      </c>
      <c r="K125" s="260"/>
      <c r="L125" s="41"/>
      <c r="M125" s="41" t="s">
        <v>227</v>
      </c>
      <c r="N125" s="42"/>
    </row>
    <row r="126" spans="1:14">
      <c r="A126" s="42">
        <v>3</v>
      </c>
      <c r="B126" s="42">
        <v>2026</v>
      </c>
      <c r="C126" s="42">
        <v>111</v>
      </c>
      <c r="D126" s="64" t="str">
        <f t="shared" si="11"/>
        <v>A igreja é unida pela esperança</v>
      </c>
      <c r="E126" s="41" t="s">
        <v>642</v>
      </c>
      <c r="F126" s="103"/>
      <c r="G126" s="95">
        <f t="shared" si="8"/>
        <v>46166</v>
      </c>
      <c r="H126" s="44">
        <f t="shared" si="7"/>
        <v>110</v>
      </c>
      <c r="I126" s="41" t="s">
        <v>338</v>
      </c>
      <c r="J126" s="41" t="s">
        <v>641</v>
      </c>
      <c r="K126" s="260"/>
      <c r="L126" s="41"/>
      <c r="M126" s="41" t="s">
        <v>227</v>
      </c>
      <c r="N126" s="42"/>
    </row>
    <row r="127" spans="1:14">
      <c r="A127" s="42">
        <v>3</v>
      </c>
      <c r="B127" s="42">
        <v>2026</v>
      </c>
      <c r="C127" s="42">
        <v>112</v>
      </c>
      <c r="D127" s="64" t="str">
        <f t="shared" si="11"/>
        <v>A igreja é unida pela esperança</v>
      </c>
      <c r="E127" s="41" t="s">
        <v>644</v>
      </c>
      <c r="F127" s="103"/>
      <c r="G127" s="95">
        <f t="shared" si="8"/>
        <v>46173</v>
      </c>
      <c r="H127" s="44">
        <f t="shared" si="7"/>
        <v>111</v>
      </c>
      <c r="I127" s="48" t="s">
        <v>341</v>
      </c>
      <c r="J127" s="41" t="s">
        <v>642</v>
      </c>
      <c r="K127" s="260"/>
      <c r="L127" s="41"/>
      <c r="M127" s="41" t="s">
        <v>227</v>
      </c>
      <c r="N127" s="42" t="s">
        <v>643</v>
      </c>
    </row>
    <row r="128" spans="1:14">
      <c r="A128" s="42">
        <v>3</v>
      </c>
      <c r="B128" s="42">
        <v>2026</v>
      </c>
      <c r="C128" s="42">
        <v>113</v>
      </c>
      <c r="D128" s="64" t="str">
        <f t="shared" si="11"/>
        <v>A terceira viagem missionária de Paulo</v>
      </c>
      <c r="E128" s="41" t="s">
        <v>645</v>
      </c>
      <c r="F128" s="103"/>
      <c r="G128" s="95">
        <f t="shared" si="8"/>
        <v>46180</v>
      </c>
      <c r="H128" s="44">
        <f t="shared" si="7"/>
        <v>112</v>
      </c>
      <c r="I128" s="48" t="s">
        <v>341</v>
      </c>
      <c r="J128" s="41" t="s">
        <v>644</v>
      </c>
      <c r="K128" s="260"/>
      <c r="L128" s="41"/>
      <c r="M128" s="41" t="s">
        <v>227</v>
      </c>
      <c r="N128" s="42"/>
    </row>
    <row r="129" spans="1:14">
      <c r="A129" s="42">
        <v>3</v>
      </c>
      <c r="B129" s="42">
        <v>2026</v>
      </c>
      <c r="C129" s="42">
        <v>114</v>
      </c>
      <c r="D129" s="64" t="str">
        <f t="shared" si="11"/>
        <v>A igreja é unida pelo Evangelho</v>
      </c>
      <c r="E129" s="41" t="s">
        <v>646</v>
      </c>
      <c r="F129" s="103"/>
      <c r="G129" s="95">
        <f t="shared" si="8"/>
        <v>46187</v>
      </c>
      <c r="H129" s="44">
        <f t="shared" si="7"/>
        <v>113</v>
      </c>
      <c r="I129" s="48" t="s">
        <v>344</v>
      </c>
      <c r="J129" s="41" t="s">
        <v>645</v>
      </c>
      <c r="K129" s="258"/>
      <c r="L129" s="41"/>
      <c r="M129" s="41" t="s">
        <v>227</v>
      </c>
      <c r="N129" s="42"/>
    </row>
    <row r="130" spans="1:14">
      <c r="A130" s="42">
        <v>3</v>
      </c>
      <c r="B130" s="42">
        <v>2026</v>
      </c>
      <c r="C130" s="42">
        <v>115</v>
      </c>
      <c r="D130" s="64" t="str">
        <f t="shared" si="11"/>
        <v>Correções e instruções</v>
      </c>
      <c r="E130" s="41" t="s">
        <v>647</v>
      </c>
      <c r="F130" s="103"/>
      <c r="G130" s="95">
        <f t="shared" si="8"/>
        <v>46194</v>
      </c>
      <c r="H130" s="44">
        <f t="shared" ref="H130:H155" si="12">+C129</f>
        <v>114</v>
      </c>
      <c r="I130" s="48" t="s">
        <v>351</v>
      </c>
      <c r="J130" s="41" t="s">
        <v>646</v>
      </c>
      <c r="K130" s="257" t="s">
        <v>350</v>
      </c>
      <c r="L130" s="41"/>
      <c r="M130" s="41" t="s">
        <v>227</v>
      </c>
      <c r="N130" s="42"/>
    </row>
    <row r="131" spans="1:14">
      <c r="A131" s="42">
        <v>3</v>
      </c>
      <c r="B131" s="42">
        <v>2026</v>
      </c>
      <c r="C131" s="42">
        <v>116</v>
      </c>
      <c r="D131" s="64" t="str">
        <f t="shared" si="11"/>
        <v>O poder do Espírito para nos transformar</v>
      </c>
      <c r="E131" s="41" t="s">
        <v>648</v>
      </c>
      <c r="F131" s="103"/>
      <c r="G131" s="95">
        <f t="shared" si="8"/>
        <v>46201</v>
      </c>
      <c r="H131" s="44">
        <f t="shared" si="12"/>
        <v>115</v>
      </c>
      <c r="I131" s="48" t="s">
        <v>354</v>
      </c>
      <c r="J131" s="41" t="s">
        <v>647</v>
      </c>
      <c r="K131" s="260"/>
      <c r="L131" s="41"/>
      <c r="M131" s="41" t="s">
        <v>227</v>
      </c>
      <c r="N131" s="42"/>
    </row>
    <row r="132" spans="1:14">
      <c r="A132" s="42">
        <v>3</v>
      </c>
      <c r="B132" s="42">
        <v>2026</v>
      </c>
      <c r="C132" s="42">
        <v>117</v>
      </c>
      <c r="D132" s="64" t="str">
        <f t="shared" si="11"/>
        <v>Guardando o evangelho</v>
      </c>
      <c r="E132" s="41" t="s">
        <v>649</v>
      </c>
      <c r="F132" s="103"/>
      <c r="G132" s="95">
        <f t="shared" si="8"/>
        <v>46208</v>
      </c>
      <c r="H132" s="44">
        <f t="shared" si="12"/>
        <v>116</v>
      </c>
      <c r="I132" s="48" t="s">
        <v>360</v>
      </c>
      <c r="J132" s="41" t="s">
        <v>648</v>
      </c>
      <c r="K132" s="260"/>
      <c r="L132" s="41"/>
      <c r="M132" s="41" t="s">
        <v>227</v>
      </c>
      <c r="N132" s="42"/>
    </row>
    <row r="133" spans="1:14">
      <c r="A133" s="42">
        <v>3</v>
      </c>
      <c r="B133" s="42">
        <v>2026</v>
      </c>
      <c r="C133" s="42">
        <v>118</v>
      </c>
      <c r="D133" s="64" t="str">
        <f t="shared" si="11"/>
        <v>Confiando no evangelho - perdição e justiça</v>
      </c>
      <c r="E133" s="41" t="s">
        <v>650</v>
      </c>
      <c r="F133" s="103"/>
      <c r="G133" s="95">
        <f t="shared" ref="G133:G158" si="13">+G132+7</f>
        <v>46215</v>
      </c>
      <c r="H133" s="44">
        <f t="shared" si="12"/>
        <v>117</v>
      </c>
      <c r="I133" s="48" t="s">
        <v>363</v>
      </c>
      <c r="J133" s="41" t="s">
        <v>649</v>
      </c>
      <c r="K133" s="260"/>
      <c r="L133" s="41"/>
      <c r="M133" s="41" t="s">
        <v>227</v>
      </c>
      <c r="N133" s="42"/>
    </row>
    <row r="134" spans="1:14">
      <c r="A134" s="42">
        <v>3</v>
      </c>
      <c r="B134" s="42">
        <v>2026</v>
      </c>
      <c r="C134" s="42">
        <v>119</v>
      </c>
      <c r="D134" s="64" t="str">
        <f t="shared" si="11"/>
        <v>Confiando no Evangelho - santificação (6 a 8) e escatologia (9 a 11)</v>
      </c>
      <c r="E134" s="41" t="s">
        <v>652</v>
      </c>
      <c r="F134" s="103"/>
      <c r="G134" s="95">
        <f t="shared" si="13"/>
        <v>46222</v>
      </c>
      <c r="H134" s="44">
        <f t="shared" si="12"/>
        <v>118</v>
      </c>
      <c r="I134" s="48" t="s">
        <v>366</v>
      </c>
      <c r="J134" s="41" t="s">
        <v>650</v>
      </c>
      <c r="K134" s="260"/>
      <c r="L134" s="41"/>
      <c r="M134" s="41" t="s">
        <v>227</v>
      </c>
      <c r="N134" s="42" t="s">
        <v>651</v>
      </c>
    </row>
    <row r="135" spans="1:14">
      <c r="A135" s="42">
        <v>3</v>
      </c>
      <c r="B135" s="42">
        <v>2026</v>
      </c>
      <c r="C135" s="42">
        <v>120</v>
      </c>
      <c r="D135" s="64" t="str">
        <f t="shared" si="11"/>
        <v>Confiando no Evangelho - orientações práticas para a vida da igreja</v>
      </c>
      <c r="E135" s="41" t="s">
        <v>654</v>
      </c>
      <c r="F135" s="103"/>
      <c r="G135" s="95">
        <f t="shared" si="13"/>
        <v>46229</v>
      </c>
      <c r="H135" s="44">
        <f t="shared" si="12"/>
        <v>119</v>
      </c>
      <c r="I135" s="48" t="s">
        <v>369</v>
      </c>
      <c r="J135" s="41" t="s">
        <v>652</v>
      </c>
      <c r="K135" s="260"/>
      <c r="L135" s="41"/>
      <c r="M135" s="41" t="s">
        <v>227</v>
      </c>
      <c r="N135" s="42" t="s">
        <v>653</v>
      </c>
    </row>
    <row r="136" spans="1:14">
      <c r="A136" s="42">
        <v>3</v>
      </c>
      <c r="B136" s="42">
        <v>2026</v>
      </c>
      <c r="C136" s="42">
        <v>121</v>
      </c>
      <c r="D136" s="64" t="str">
        <f t="shared" si="11"/>
        <v>Pregando em todas as circunstâncias</v>
      </c>
      <c r="E136" s="41" t="s">
        <v>655</v>
      </c>
      <c r="F136" s="103"/>
      <c r="G136" s="95">
        <f t="shared" si="13"/>
        <v>46236</v>
      </c>
      <c r="H136" s="44">
        <f t="shared" si="12"/>
        <v>120</v>
      </c>
      <c r="I136" s="48" t="s">
        <v>372</v>
      </c>
      <c r="J136" s="41" t="s">
        <v>654</v>
      </c>
      <c r="K136" s="260"/>
      <c r="L136" s="41"/>
      <c r="M136" s="41" t="s">
        <v>227</v>
      </c>
      <c r="N136" s="42"/>
    </row>
    <row r="137" spans="1:14">
      <c r="A137" s="42">
        <v>3</v>
      </c>
      <c r="B137" s="42">
        <v>2026</v>
      </c>
      <c r="C137" s="42">
        <v>122</v>
      </c>
      <c r="D137" s="64" t="str">
        <f t="shared" si="11"/>
        <v>A viagem de Paulo a Roma</v>
      </c>
      <c r="E137" s="41" t="s">
        <v>656</v>
      </c>
      <c r="F137" s="103"/>
      <c r="G137" s="95">
        <f t="shared" si="13"/>
        <v>46243</v>
      </c>
      <c r="H137" s="44">
        <f t="shared" si="12"/>
        <v>121</v>
      </c>
      <c r="I137" s="48" t="s">
        <v>375</v>
      </c>
      <c r="J137" s="41" t="s">
        <v>655</v>
      </c>
      <c r="K137" s="260"/>
      <c r="L137" s="41"/>
      <c r="M137" s="41" t="s">
        <v>227</v>
      </c>
      <c r="N137" s="42"/>
    </row>
    <row r="138" spans="1:14">
      <c r="A138" s="42">
        <v>3</v>
      </c>
      <c r="B138" s="42">
        <v>2026</v>
      </c>
      <c r="C138" s="42">
        <v>123</v>
      </c>
      <c r="D138" s="64" t="str">
        <f t="shared" si="11"/>
        <v>Perseguindo o alvo</v>
      </c>
      <c r="E138" s="41" t="s">
        <v>657</v>
      </c>
      <c r="F138" s="103"/>
      <c r="G138" s="95">
        <f t="shared" si="13"/>
        <v>46250</v>
      </c>
      <c r="H138" s="44">
        <f t="shared" si="12"/>
        <v>122</v>
      </c>
      <c r="I138" s="48" t="s">
        <v>378</v>
      </c>
      <c r="J138" s="41" t="s">
        <v>656</v>
      </c>
      <c r="K138" s="258"/>
      <c r="L138" s="41"/>
      <c r="M138" s="41" t="s">
        <v>227</v>
      </c>
      <c r="N138" s="42"/>
    </row>
    <row r="139" spans="1:14">
      <c r="A139" s="42">
        <v>3</v>
      </c>
      <c r="B139" s="42">
        <v>2026</v>
      </c>
      <c r="C139" s="42">
        <v>124</v>
      </c>
      <c r="D139" s="64" t="str">
        <f t="shared" si="11"/>
        <v>Experimentando uma nova identidade no evangelho de Jesus</v>
      </c>
      <c r="E139" s="41" t="s">
        <v>660</v>
      </c>
      <c r="F139" s="103"/>
      <c r="G139" s="95">
        <f t="shared" si="13"/>
        <v>46257</v>
      </c>
      <c r="H139" s="44">
        <f t="shared" si="12"/>
        <v>123</v>
      </c>
      <c r="I139" s="48" t="s">
        <v>381</v>
      </c>
      <c r="J139" s="41" t="s">
        <v>657</v>
      </c>
      <c r="K139" s="257" t="s">
        <v>658</v>
      </c>
      <c r="L139" s="41"/>
      <c r="M139" s="41" t="s">
        <v>227</v>
      </c>
      <c r="N139" s="42" t="s">
        <v>659</v>
      </c>
    </row>
    <row r="140" spans="1:14">
      <c r="A140" s="42">
        <v>3</v>
      </c>
      <c r="B140" s="42">
        <v>2026</v>
      </c>
      <c r="C140" s="42">
        <v>125</v>
      </c>
      <c r="D140" s="64" t="str">
        <f t="shared" si="11"/>
        <v>Vivendo na graça</v>
      </c>
      <c r="E140" s="41" t="s">
        <v>657</v>
      </c>
      <c r="F140" s="103"/>
      <c r="G140" s="95">
        <f t="shared" si="13"/>
        <v>46264</v>
      </c>
      <c r="H140" s="44">
        <f t="shared" si="12"/>
        <v>124</v>
      </c>
      <c r="I140" s="48" t="s">
        <v>384</v>
      </c>
      <c r="J140" s="41" t="s">
        <v>660</v>
      </c>
      <c r="K140" s="260"/>
      <c r="L140" s="41"/>
      <c r="M140" s="41" t="s">
        <v>227</v>
      </c>
      <c r="N140" s="42" t="s">
        <v>661</v>
      </c>
    </row>
    <row r="141" spans="1:14">
      <c r="A141" s="42">
        <v>3</v>
      </c>
      <c r="B141" s="42">
        <v>2026</v>
      </c>
      <c r="C141" s="42">
        <v>126</v>
      </c>
      <c r="D141" s="64" t="str">
        <f t="shared" si="11"/>
        <v>Quebrando barreiras</v>
      </c>
      <c r="E141" s="41" t="s">
        <v>662</v>
      </c>
      <c r="F141" s="103"/>
      <c r="G141" s="95">
        <f t="shared" si="13"/>
        <v>46271</v>
      </c>
      <c r="H141" s="44">
        <f t="shared" si="12"/>
        <v>125</v>
      </c>
      <c r="I141" s="48" t="s">
        <v>387</v>
      </c>
      <c r="J141" s="41" t="s">
        <v>657</v>
      </c>
      <c r="K141" s="260"/>
      <c r="L141" s="41"/>
      <c r="M141" s="41" t="s">
        <v>227</v>
      </c>
      <c r="N141" s="42"/>
    </row>
    <row r="142" spans="1:14">
      <c r="A142" s="42">
        <v>3</v>
      </c>
      <c r="B142" s="42">
        <v>2026</v>
      </c>
      <c r="C142" s="42">
        <v>127</v>
      </c>
      <c r="D142" s="64" t="str">
        <f t="shared" si="11"/>
        <v>Cartas pastorais</v>
      </c>
      <c r="E142" s="41" t="s">
        <v>663</v>
      </c>
      <c r="F142" s="103"/>
      <c r="G142" s="95">
        <f t="shared" si="13"/>
        <v>46278</v>
      </c>
      <c r="H142" s="44">
        <f t="shared" si="12"/>
        <v>126</v>
      </c>
      <c r="I142" s="48" t="s">
        <v>390</v>
      </c>
      <c r="J142" s="41" t="s">
        <v>662</v>
      </c>
      <c r="K142" s="258"/>
      <c r="L142" s="41"/>
      <c r="M142" s="41" t="s">
        <v>227</v>
      </c>
      <c r="N142" s="42"/>
    </row>
    <row r="143" spans="1:14">
      <c r="A143" s="42">
        <v>3</v>
      </c>
      <c r="B143" s="42">
        <v>2026</v>
      </c>
      <c r="C143" s="42">
        <v>128</v>
      </c>
      <c r="D143" s="64" t="str">
        <f t="shared" si="11"/>
        <v>Cartas pastorais</v>
      </c>
      <c r="E143" s="41" t="s">
        <v>664</v>
      </c>
      <c r="F143" s="103"/>
      <c r="G143" s="95">
        <f t="shared" si="13"/>
        <v>46285</v>
      </c>
      <c r="H143" s="44">
        <f t="shared" si="12"/>
        <v>127</v>
      </c>
      <c r="I143" s="48" t="s">
        <v>393</v>
      </c>
      <c r="J143" s="41" t="s">
        <v>663</v>
      </c>
      <c r="K143" s="257" t="s">
        <v>393</v>
      </c>
      <c r="L143" s="41"/>
      <c r="M143" s="41" t="s">
        <v>227</v>
      </c>
      <c r="N143" s="42"/>
    </row>
    <row r="144" spans="1:14">
      <c r="A144" s="42">
        <v>3</v>
      </c>
      <c r="B144" s="42">
        <v>2026</v>
      </c>
      <c r="C144" s="42">
        <v>129</v>
      </c>
      <c r="D144" s="64" t="str">
        <f t="shared" si="11"/>
        <v>Confiando em tempos difíceis</v>
      </c>
      <c r="E144" s="41" t="s">
        <v>666</v>
      </c>
      <c r="F144" s="103"/>
      <c r="G144" s="95">
        <f t="shared" si="13"/>
        <v>46292</v>
      </c>
      <c r="H144" s="44">
        <f t="shared" si="12"/>
        <v>128</v>
      </c>
      <c r="I144" s="48" t="s">
        <v>393</v>
      </c>
      <c r="J144" s="41" t="s">
        <v>664</v>
      </c>
      <c r="K144" s="258"/>
      <c r="L144" s="41"/>
      <c r="M144" s="41" t="s">
        <v>227</v>
      </c>
      <c r="N144" s="42" t="s">
        <v>665</v>
      </c>
    </row>
    <row r="145" spans="1:14">
      <c r="A145" s="42">
        <v>3</v>
      </c>
      <c r="B145" s="42">
        <v>2026</v>
      </c>
      <c r="C145" s="42">
        <v>130</v>
      </c>
      <c r="D145" s="64" t="str">
        <f t="shared" si="11"/>
        <v>Buscando uma vida com Deus</v>
      </c>
      <c r="E145" s="41" t="s">
        <v>668</v>
      </c>
      <c r="F145" s="103"/>
      <c r="G145" s="95">
        <f t="shared" si="13"/>
        <v>46299</v>
      </c>
      <c r="H145" s="44">
        <f t="shared" si="12"/>
        <v>129</v>
      </c>
      <c r="I145" s="48" t="s">
        <v>400</v>
      </c>
      <c r="J145" s="41" t="s">
        <v>666</v>
      </c>
      <c r="K145" s="257" t="s">
        <v>667</v>
      </c>
      <c r="L145" s="41"/>
      <c r="M145" s="41" t="s">
        <v>227</v>
      </c>
      <c r="N145" s="42"/>
    </row>
    <row r="146" spans="1:14">
      <c r="A146" s="42">
        <v>3</v>
      </c>
      <c r="B146" s="42">
        <v>2026</v>
      </c>
      <c r="C146" s="42">
        <v>131</v>
      </c>
      <c r="D146" s="64" t="str">
        <f t="shared" si="11"/>
        <v>A igreja é enviada para proclamar a Jesus</v>
      </c>
      <c r="E146" s="41" t="s">
        <v>669</v>
      </c>
      <c r="F146" s="103"/>
      <c r="G146" s="95">
        <f t="shared" si="13"/>
        <v>46306</v>
      </c>
      <c r="H146" s="44">
        <f t="shared" si="12"/>
        <v>130</v>
      </c>
      <c r="I146" s="49" t="s">
        <v>403</v>
      </c>
      <c r="J146" s="41" t="s">
        <v>668</v>
      </c>
      <c r="K146" s="260"/>
      <c r="L146" s="41"/>
      <c r="M146" s="41" t="s">
        <v>227</v>
      </c>
      <c r="N146" s="42"/>
    </row>
    <row r="147" spans="1:14">
      <c r="A147" s="42">
        <v>3</v>
      </c>
      <c r="B147" s="42">
        <v>2026</v>
      </c>
      <c r="C147" s="42">
        <v>132</v>
      </c>
      <c r="D147" s="64" t="str">
        <f t="shared" si="11"/>
        <v>As marcas daqueles que têm comunhão com Deus - 1 João
Não seja hospitaleiro com aqueles que rejeitam a verdade - 2 João
Seja hospitaleiro com aqueles que proclamam a verdade - 3 João</v>
      </c>
      <c r="E147" s="41" t="s">
        <v>670</v>
      </c>
      <c r="F147" s="103"/>
      <c r="G147" s="95">
        <f t="shared" si="13"/>
        <v>46313</v>
      </c>
      <c r="H147" s="44">
        <f t="shared" si="12"/>
        <v>131</v>
      </c>
      <c r="I147" s="48" t="s">
        <v>406</v>
      </c>
      <c r="J147" s="41" t="s">
        <v>669</v>
      </c>
      <c r="K147" s="260"/>
      <c r="L147" s="41"/>
      <c r="M147" s="41" t="s">
        <v>227</v>
      </c>
      <c r="N147" s="42"/>
    </row>
    <row r="148" spans="1:14" ht="15.75" customHeight="1">
      <c r="A148" s="42">
        <v>3</v>
      </c>
      <c r="B148" s="42">
        <v>2026</v>
      </c>
      <c r="C148" s="42">
        <v>133</v>
      </c>
      <c r="D148" s="64" t="str">
        <f t="shared" si="11"/>
        <v>Cristo e os sete candeeiros (Ap 1-3)</v>
      </c>
      <c r="E148" s="41" t="s">
        <v>672</v>
      </c>
      <c r="F148" s="103"/>
      <c r="G148" s="95">
        <f t="shared" si="13"/>
        <v>46320</v>
      </c>
      <c r="H148" s="44">
        <f t="shared" si="12"/>
        <v>132</v>
      </c>
      <c r="I148" s="48" t="s">
        <v>412</v>
      </c>
      <c r="J148" s="41" t="s">
        <v>670</v>
      </c>
      <c r="K148" s="258"/>
      <c r="L148" s="41"/>
      <c r="M148" s="41" t="s">
        <v>227</v>
      </c>
      <c r="N148" s="42"/>
    </row>
    <row r="149" spans="1:14">
      <c r="A149" s="42">
        <v>3</v>
      </c>
      <c r="B149" s="42">
        <v>2026</v>
      </c>
      <c r="C149" s="42">
        <v>134</v>
      </c>
      <c r="D149" s="64" t="str">
        <f t="shared" si="11"/>
        <v>O Cordeiro e os sete selos (Ap 4-7)</v>
      </c>
      <c r="E149" s="41" t="s">
        <v>675</v>
      </c>
      <c r="F149" s="103"/>
      <c r="G149" s="95">
        <f t="shared" si="13"/>
        <v>46327</v>
      </c>
      <c r="H149" s="44">
        <f t="shared" si="12"/>
        <v>133</v>
      </c>
      <c r="I149" s="41" t="s">
        <v>671</v>
      </c>
      <c r="J149" s="41" t="s">
        <v>672</v>
      </c>
      <c r="K149" s="257" t="s">
        <v>673</v>
      </c>
      <c r="L149" s="41"/>
      <c r="M149" s="41" t="s">
        <v>227</v>
      </c>
      <c r="N149" s="42"/>
    </row>
    <row r="150" spans="1:14">
      <c r="A150" s="42">
        <v>3</v>
      </c>
      <c r="B150" s="42">
        <v>2026</v>
      </c>
      <c r="C150" s="42">
        <v>135</v>
      </c>
      <c r="D150" s="64" t="str">
        <f t="shared" si="11"/>
        <v>As sete trombetas (Ap 8-11)</v>
      </c>
      <c r="E150" s="41" t="s">
        <v>677</v>
      </c>
      <c r="F150" s="103"/>
      <c r="G150" s="95">
        <f t="shared" si="13"/>
        <v>46334</v>
      </c>
      <c r="H150" s="44">
        <f t="shared" si="12"/>
        <v>134</v>
      </c>
      <c r="I150" s="41" t="s">
        <v>674</v>
      </c>
      <c r="J150" s="41" t="s">
        <v>675</v>
      </c>
      <c r="K150" s="260"/>
      <c r="L150" s="41"/>
      <c r="M150" s="41" t="s">
        <v>227</v>
      </c>
      <c r="N150" s="42"/>
    </row>
    <row r="151" spans="1:14">
      <c r="A151" s="42">
        <v>3</v>
      </c>
      <c r="B151" s="42">
        <v>2026</v>
      </c>
      <c r="C151" s="42">
        <v>136</v>
      </c>
      <c r="D151" s="64" t="str">
        <f t="shared" si="11"/>
        <v>O dragão e as sete vozes (Ap 12-14)</v>
      </c>
      <c r="E151" s="41" t="s">
        <v>679</v>
      </c>
      <c r="F151" s="103"/>
      <c r="G151" s="95">
        <f t="shared" si="13"/>
        <v>46341</v>
      </c>
      <c r="H151" s="44">
        <f t="shared" si="12"/>
        <v>135</v>
      </c>
      <c r="I151" s="41" t="s">
        <v>676</v>
      </c>
      <c r="J151" s="41" t="s">
        <v>677</v>
      </c>
      <c r="K151" s="260"/>
      <c r="L151" s="41"/>
      <c r="M151" s="41" t="s">
        <v>227</v>
      </c>
      <c r="N151" s="42"/>
    </row>
    <row r="152" spans="1:14">
      <c r="A152" s="42">
        <v>3</v>
      </c>
      <c r="B152" s="42">
        <v>2026</v>
      </c>
      <c r="C152" s="42">
        <v>137</v>
      </c>
      <c r="D152" s="64" t="str">
        <f t="shared" si="11"/>
        <v xml:space="preserve">As sete taças (Ap 15-16) </v>
      </c>
      <c r="E152" s="41" t="s">
        <v>681</v>
      </c>
      <c r="F152" s="103"/>
      <c r="G152" s="95">
        <f t="shared" si="13"/>
        <v>46348</v>
      </c>
      <c r="H152" s="44">
        <f t="shared" si="12"/>
        <v>136</v>
      </c>
      <c r="I152" s="41" t="s">
        <v>678</v>
      </c>
      <c r="J152" s="41" t="s">
        <v>679</v>
      </c>
      <c r="K152" s="260"/>
      <c r="L152" s="41"/>
      <c r="M152" s="41" t="s">
        <v>227</v>
      </c>
      <c r="N152" s="42"/>
    </row>
    <row r="153" spans="1:14">
      <c r="A153" s="42">
        <v>3</v>
      </c>
      <c r="B153" s="42">
        <v>2026</v>
      </c>
      <c r="C153" s="42">
        <v>138</v>
      </c>
      <c r="D153" s="64" t="str">
        <f t="shared" si="11"/>
        <v>A destruição dos inimigos (Ap 17-19)</v>
      </c>
      <c r="E153" s="41" t="s">
        <v>683</v>
      </c>
      <c r="F153" s="103"/>
      <c r="G153" s="95">
        <f t="shared" si="13"/>
        <v>46355</v>
      </c>
      <c r="H153" s="44">
        <f t="shared" si="12"/>
        <v>137</v>
      </c>
      <c r="I153" s="41" t="s">
        <v>680</v>
      </c>
      <c r="J153" s="41" t="s">
        <v>681</v>
      </c>
      <c r="K153" s="260"/>
      <c r="L153" s="41"/>
      <c r="M153" s="41" t="s">
        <v>227</v>
      </c>
      <c r="N153" s="42"/>
    </row>
    <row r="154" spans="1:14">
      <c r="A154" s="42">
        <v>3</v>
      </c>
      <c r="B154" s="42">
        <v>2026</v>
      </c>
      <c r="C154" s="42">
        <v>139</v>
      </c>
      <c r="D154" s="64" t="str">
        <f t="shared" si="11"/>
        <v>As visões da consumação (Ap 20-22)</v>
      </c>
      <c r="E154" s="41" t="s">
        <v>685</v>
      </c>
      <c r="F154" s="103"/>
      <c r="G154" s="95">
        <f t="shared" si="13"/>
        <v>46362</v>
      </c>
      <c r="H154" s="44">
        <f t="shared" si="12"/>
        <v>138</v>
      </c>
      <c r="I154" s="41" t="s">
        <v>682</v>
      </c>
      <c r="J154" s="41" t="s">
        <v>683</v>
      </c>
      <c r="K154" s="260"/>
      <c r="L154" s="41"/>
      <c r="M154" s="41" t="s">
        <v>227</v>
      </c>
      <c r="N154" s="42"/>
    </row>
    <row r="155" spans="1:14">
      <c r="A155" s="42">
        <v>3</v>
      </c>
      <c r="B155" s="42">
        <v>2026</v>
      </c>
      <c r="C155" s="42">
        <v>140</v>
      </c>
      <c r="D155" s="64" t="s">
        <v>574</v>
      </c>
      <c r="E155" s="41"/>
      <c r="F155" s="103"/>
      <c r="G155" s="95">
        <f t="shared" si="13"/>
        <v>46369</v>
      </c>
      <c r="H155" s="44">
        <f t="shared" si="12"/>
        <v>139</v>
      </c>
      <c r="I155" s="41" t="s">
        <v>684</v>
      </c>
      <c r="J155" s="41" t="s">
        <v>685</v>
      </c>
      <c r="K155" s="258"/>
      <c r="L155" s="41"/>
      <c r="M155" s="41" t="s">
        <v>227</v>
      </c>
      <c r="N155" s="42"/>
    </row>
    <row r="156" spans="1:14">
      <c r="A156" s="42">
        <v>3</v>
      </c>
      <c r="B156" s="42">
        <v>2026</v>
      </c>
      <c r="C156" s="42"/>
      <c r="D156" s="66" t="s">
        <v>427</v>
      </c>
      <c r="E156" s="42"/>
      <c r="F156" s="104"/>
      <c r="G156" s="95">
        <f t="shared" si="13"/>
        <v>46376</v>
      </c>
      <c r="H156" s="44"/>
      <c r="I156" s="3" t="s">
        <v>427</v>
      </c>
      <c r="J156" s="41"/>
      <c r="K156" s="41"/>
      <c r="L156" s="41"/>
      <c r="M156" s="42"/>
      <c r="N156" s="42"/>
    </row>
    <row r="157" spans="1:14">
      <c r="A157" s="42">
        <v>3</v>
      </c>
      <c r="B157" s="42">
        <v>2026</v>
      </c>
      <c r="C157" s="42"/>
      <c r="D157" s="66"/>
      <c r="E157" s="42"/>
      <c r="F157" s="104"/>
      <c r="G157" s="95">
        <f t="shared" si="13"/>
        <v>46383</v>
      </c>
      <c r="H157" s="44"/>
      <c r="I157" s="3" t="s">
        <v>429</v>
      </c>
      <c r="J157" s="41"/>
      <c r="K157" s="41"/>
      <c r="L157" s="41"/>
      <c r="M157" s="42"/>
      <c r="N157" s="42"/>
    </row>
    <row r="158" spans="1:14" ht="15" thickBot="1">
      <c r="A158" s="42">
        <v>3</v>
      </c>
      <c r="B158" s="42">
        <v>2026</v>
      </c>
      <c r="C158" s="42"/>
      <c r="D158" s="66"/>
      <c r="E158" s="42"/>
      <c r="F158" s="104"/>
      <c r="G158" s="96">
        <f t="shared" si="13"/>
        <v>46390</v>
      </c>
      <c r="H158" s="44"/>
      <c r="I158" s="3" t="s">
        <v>430</v>
      </c>
      <c r="J158" s="41"/>
      <c r="K158" s="41"/>
      <c r="L158" s="41"/>
      <c r="M158" s="42"/>
      <c r="N158" s="42"/>
    </row>
    <row r="159" spans="1:14">
      <c r="I159" s="47"/>
      <c r="J159" s="47"/>
      <c r="L159" s="47"/>
    </row>
  </sheetData>
  <mergeCells count="32">
    <mergeCell ref="K44:K45"/>
    <mergeCell ref="A2:B2"/>
    <mergeCell ref="K3:K8"/>
    <mergeCell ref="K9:K12"/>
    <mergeCell ref="K13:K17"/>
    <mergeCell ref="K18:K21"/>
    <mergeCell ref="K22:K25"/>
    <mergeCell ref="K26:K31"/>
    <mergeCell ref="K32:K34"/>
    <mergeCell ref="K35:K37"/>
    <mergeCell ref="K38:K39"/>
    <mergeCell ref="K40:K43"/>
    <mergeCell ref="K107:K115"/>
    <mergeCell ref="K46:K49"/>
    <mergeCell ref="K50:K52"/>
    <mergeCell ref="K55:K59"/>
    <mergeCell ref="D62:F62"/>
    <mergeCell ref="H62:J62"/>
    <mergeCell ref="K65:K68"/>
    <mergeCell ref="K69:K74"/>
    <mergeCell ref="K75:K87"/>
    <mergeCell ref="K88:K92"/>
    <mergeCell ref="K93:K95"/>
    <mergeCell ref="K96:K102"/>
    <mergeCell ref="K145:K148"/>
    <mergeCell ref="K149:K155"/>
    <mergeCell ref="K116:K119"/>
    <mergeCell ref="K121:K123"/>
    <mergeCell ref="K124:K129"/>
    <mergeCell ref="K130:K138"/>
    <mergeCell ref="K139:K142"/>
    <mergeCell ref="K143:K14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D297-3226-4D80-A4CD-66F931666FF1}">
  <sheetPr>
    <tabColor rgb="FFFFFF00"/>
  </sheetPr>
  <dimension ref="A1:N159"/>
  <sheetViews>
    <sheetView showGridLines="0" tabSelected="1" zoomScale="110" zoomScaleNormal="110" workbookViewId="0">
      <pane xSplit="1" ySplit="2" topLeftCell="B130" activePane="bottomRight" state="frozen"/>
      <selection pane="bottomRight" activeCell="F156" sqref="F156"/>
      <selection pane="bottomLeft" activeCell="A2" sqref="A2"/>
      <selection pane="topRight" activeCell="D1" sqref="D1"/>
    </sheetView>
  </sheetViews>
  <sheetFormatPr defaultColWidth="9.140625" defaultRowHeight="14.45" outlineLevelRow="1"/>
  <cols>
    <col min="1" max="1" width="2" style="143" bestFit="1" customWidth="1"/>
    <col min="2" max="2" width="9.140625" style="143"/>
    <col min="3" max="3" width="8.140625" style="143" bestFit="1" customWidth="1"/>
    <col min="4" max="4" width="60.28515625" style="128" customWidth="1"/>
    <col min="5" max="5" width="29.5703125" style="128" customWidth="1"/>
    <col min="6" max="6" width="16.42578125" style="176" customWidth="1"/>
    <col min="7" max="7" width="20" style="176" customWidth="1"/>
    <col min="8" max="8" width="4" style="176" customWidth="1"/>
    <col min="9" max="9" width="66.42578125" style="143" bestFit="1" customWidth="1"/>
    <col min="10" max="10" width="22.42578125" style="143" customWidth="1"/>
    <col min="11" max="11" width="24.42578125" style="143" bestFit="1" customWidth="1"/>
    <col min="12" max="12" width="23.5703125" style="143" customWidth="1"/>
    <col min="13" max="13" width="7.42578125" style="143" customWidth="1"/>
    <col min="14" max="14" width="45.85546875" style="143" bestFit="1" customWidth="1"/>
    <col min="15" max="16384" width="9.140625" style="143"/>
  </cols>
  <sheetData>
    <row r="1" spans="1:14" s="119" customFormat="1" ht="25.5" customHeight="1" thickBot="1">
      <c r="B1" s="119" t="s">
        <v>689</v>
      </c>
      <c r="D1" s="178"/>
      <c r="E1" s="178"/>
      <c r="F1" s="120"/>
      <c r="G1" s="120"/>
      <c r="H1" s="120"/>
    </row>
    <row r="2" spans="1:14" s="138" customFormat="1">
      <c r="A2" s="259" t="s">
        <v>432</v>
      </c>
      <c r="B2" s="259"/>
      <c r="C2" s="133" t="s">
        <v>433</v>
      </c>
      <c r="D2" s="179" t="s">
        <v>434</v>
      </c>
      <c r="E2" s="192" t="s">
        <v>437</v>
      </c>
      <c r="F2" s="133" t="s">
        <v>690</v>
      </c>
      <c r="G2" s="134" t="s">
        <v>435</v>
      </c>
      <c r="H2" s="135" t="s">
        <v>433</v>
      </c>
      <c r="I2" s="136" t="s">
        <v>436</v>
      </c>
      <c r="J2" s="136" t="s">
        <v>437</v>
      </c>
      <c r="K2" s="137" t="s">
        <v>438</v>
      </c>
      <c r="L2" s="137" t="s">
        <v>439</v>
      </c>
      <c r="M2" s="137" t="s">
        <v>6</v>
      </c>
      <c r="N2" s="137" t="s">
        <v>440</v>
      </c>
    </row>
    <row r="3" spans="1:14" outlineLevel="1">
      <c r="A3" s="139">
        <v>1</v>
      </c>
      <c r="B3" s="139">
        <v>2024</v>
      </c>
      <c r="C3" s="140">
        <v>1</v>
      </c>
      <c r="D3" s="180" t="s">
        <v>441</v>
      </c>
      <c r="E3" s="193"/>
      <c r="F3" s="141"/>
      <c r="G3" s="201">
        <v>45298</v>
      </c>
      <c r="H3" s="210"/>
      <c r="I3" s="140" t="s">
        <v>442</v>
      </c>
      <c r="J3" s="142"/>
      <c r="K3" s="257" t="s">
        <v>443</v>
      </c>
      <c r="L3" s="137"/>
      <c r="M3" s="139" t="s">
        <v>11</v>
      </c>
      <c r="N3" s="139" t="s">
        <v>444</v>
      </c>
    </row>
    <row r="4" spans="1:14" outlineLevel="1">
      <c r="A4" s="139">
        <v>1</v>
      </c>
      <c r="B4" s="139">
        <v>2024</v>
      </c>
      <c r="C4" s="140">
        <v>2</v>
      </c>
      <c r="D4" s="180" t="s">
        <v>445</v>
      </c>
      <c r="E4" s="193"/>
      <c r="F4" s="141"/>
      <c r="G4" s="201">
        <f>+G3+7</f>
        <v>45305</v>
      </c>
      <c r="H4" s="210"/>
      <c r="I4" s="140" t="s">
        <v>446</v>
      </c>
      <c r="J4" s="140" t="s">
        <v>447</v>
      </c>
      <c r="K4" s="260"/>
      <c r="L4" s="137"/>
      <c r="M4" s="139" t="s">
        <v>11</v>
      </c>
      <c r="N4" s="139" t="s">
        <v>444</v>
      </c>
    </row>
    <row r="5" spans="1:14" outlineLevel="1">
      <c r="A5" s="139">
        <v>1</v>
      </c>
      <c r="B5" s="139">
        <v>2024</v>
      </c>
      <c r="C5" s="140">
        <v>3</v>
      </c>
      <c r="D5" s="180" t="s">
        <v>448</v>
      </c>
      <c r="E5" s="193"/>
      <c r="F5" s="141"/>
      <c r="G5" s="201">
        <f t="shared" ref="G5:G68" si="0">+G4+7</f>
        <v>45312</v>
      </c>
      <c r="H5" s="210"/>
      <c r="I5" s="140" t="s">
        <v>449</v>
      </c>
      <c r="J5" s="140" t="s">
        <v>450</v>
      </c>
      <c r="K5" s="260"/>
      <c r="L5" s="137"/>
      <c r="M5" s="139" t="s">
        <v>11</v>
      </c>
      <c r="N5" s="139"/>
    </row>
    <row r="6" spans="1:14" outlineLevel="1">
      <c r="A6" s="139">
        <v>1</v>
      </c>
      <c r="B6" s="139">
        <v>2024</v>
      </c>
      <c r="C6" s="140">
        <v>4</v>
      </c>
      <c r="D6" s="180" t="s">
        <v>451</v>
      </c>
      <c r="E6" s="193"/>
      <c r="F6" s="141"/>
      <c r="G6" s="201">
        <f t="shared" si="0"/>
        <v>45319</v>
      </c>
      <c r="H6" s="210"/>
      <c r="I6" s="140" t="s">
        <v>452</v>
      </c>
      <c r="J6" s="140" t="s">
        <v>453</v>
      </c>
      <c r="K6" s="260"/>
      <c r="L6" s="137"/>
      <c r="M6" s="139" t="s">
        <v>11</v>
      </c>
      <c r="N6" s="139"/>
    </row>
    <row r="7" spans="1:14" outlineLevel="1">
      <c r="A7" s="139">
        <v>1</v>
      </c>
      <c r="B7" s="139">
        <v>2024</v>
      </c>
      <c r="C7" s="140">
        <v>5</v>
      </c>
      <c r="D7" s="180" t="s">
        <v>454</v>
      </c>
      <c r="E7" s="193"/>
      <c r="F7" s="141"/>
      <c r="G7" s="201">
        <f t="shared" si="0"/>
        <v>45326</v>
      </c>
      <c r="H7" s="210"/>
      <c r="I7" s="140" t="s">
        <v>455</v>
      </c>
      <c r="J7" s="140" t="s">
        <v>456</v>
      </c>
      <c r="K7" s="260"/>
      <c r="L7" s="137"/>
      <c r="M7" s="139" t="s">
        <v>11</v>
      </c>
      <c r="N7" s="139"/>
    </row>
    <row r="8" spans="1:14" outlineLevel="1">
      <c r="A8" s="139">
        <v>1</v>
      </c>
      <c r="B8" s="139">
        <v>2024</v>
      </c>
      <c r="C8" s="140">
        <v>1</v>
      </c>
      <c r="D8" s="180" t="s">
        <v>457</v>
      </c>
      <c r="E8" s="194" t="s">
        <v>462</v>
      </c>
      <c r="F8" s="145"/>
      <c r="G8" s="201">
        <f t="shared" si="0"/>
        <v>45333</v>
      </c>
      <c r="H8" s="210"/>
      <c r="I8" s="142" t="s">
        <v>458</v>
      </c>
      <c r="J8" s="140" t="s">
        <v>459</v>
      </c>
      <c r="K8" s="258"/>
      <c r="L8" s="137"/>
      <c r="M8" s="139" t="s">
        <v>11</v>
      </c>
      <c r="N8" s="139" t="s">
        <v>460</v>
      </c>
    </row>
    <row r="9" spans="1:14" outlineLevel="1">
      <c r="A9" s="139">
        <v>1</v>
      </c>
      <c r="B9" s="139">
        <v>2024</v>
      </c>
      <c r="C9" s="140">
        <v>2</v>
      </c>
      <c r="D9" s="180" t="s">
        <v>461</v>
      </c>
      <c r="E9" s="193" t="s">
        <v>465</v>
      </c>
      <c r="F9" s="141"/>
      <c r="G9" s="201">
        <f t="shared" si="0"/>
        <v>45340</v>
      </c>
      <c r="H9" s="210">
        <f t="shared" ref="H9:J24" si="1">C8</f>
        <v>1</v>
      </c>
      <c r="I9" s="144" t="str">
        <f t="shared" si="1"/>
        <v>Criação</v>
      </c>
      <c r="J9" s="144" t="str">
        <f t="shared" si="1"/>
        <v>Gn 1-2</v>
      </c>
      <c r="K9" s="257" t="s">
        <v>457</v>
      </c>
      <c r="L9" s="146" t="s">
        <v>463</v>
      </c>
      <c r="M9" s="139" t="s">
        <v>11</v>
      </c>
      <c r="N9" s="139"/>
    </row>
    <row r="10" spans="1:14" outlineLevel="1">
      <c r="A10" s="139">
        <v>1</v>
      </c>
      <c r="B10" s="139">
        <v>2024</v>
      </c>
      <c r="C10" s="140">
        <v>3</v>
      </c>
      <c r="D10" s="180" t="s">
        <v>464</v>
      </c>
      <c r="E10" s="194" t="s">
        <v>468</v>
      </c>
      <c r="F10" s="145"/>
      <c r="G10" s="201">
        <f t="shared" si="0"/>
        <v>45347</v>
      </c>
      <c r="H10" s="210">
        <f t="shared" si="1"/>
        <v>2</v>
      </c>
      <c r="I10" s="144" t="str">
        <f>D9</f>
        <v>Queda</v>
      </c>
      <c r="J10" s="144" t="str">
        <f t="shared" si="1"/>
        <v>Gn 3-4</v>
      </c>
      <c r="K10" s="260"/>
      <c r="L10" s="139" t="s">
        <v>466</v>
      </c>
      <c r="M10" s="139" t="s">
        <v>11</v>
      </c>
      <c r="N10" s="139"/>
    </row>
    <row r="11" spans="1:14" outlineLevel="1">
      <c r="A11" s="139">
        <v>1</v>
      </c>
      <c r="B11" s="139">
        <v>2024</v>
      </c>
      <c r="C11" s="140">
        <v>4</v>
      </c>
      <c r="D11" s="180" t="s">
        <v>467</v>
      </c>
      <c r="E11" s="194" t="s">
        <v>471</v>
      </c>
      <c r="F11" s="145"/>
      <c r="G11" s="201">
        <f t="shared" si="0"/>
        <v>45354</v>
      </c>
      <c r="H11" s="210">
        <f t="shared" si="1"/>
        <v>3</v>
      </c>
      <c r="I11" s="144" t="str">
        <f t="shared" si="1"/>
        <v xml:space="preserve">Dilúvio </v>
      </c>
      <c r="J11" s="144" t="str">
        <f t="shared" si="1"/>
        <v>Gn 6-9</v>
      </c>
      <c r="K11" s="260"/>
      <c r="L11" s="146" t="s">
        <v>469</v>
      </c>
      <c r="M11" s="139" t="s">
        <v>11</v>
      </c>
      <c r="N11" s="139"/>
    </row>
    <row r="12" spans="1:14" outlineLevel="1">
      <c r="A12" s="139">
        <v>1</v>
      </c>
      <c r="B12" s="139">
        <v>2024</v>
      </c>
      <c r="C12" s="140">
        <v>5</v>
      </c>
      <c r="D12" s="180" t="s">
        <v>470</v>
      </c>
      <c r="E12" s="194" t="s">
        <v>474</v>
      </c>
      <c r="F12" s="145"/>
      <c r="G12" s="201">
        <f t="shared" si="0"/>
        <v>45361</v>
      </c>
      <c r="H12" s="210">
        <f t="shared" si="1"/>
        <v>4</v>
      </c>
      <c r="I12" s="144" t="str">
        <f t="shared" si="1"/>
        <v>Torre de Babel</v>
      </c>
      <c r="J12" s="144" t="str">
        <f t="shared" si="1"/>
        <v>Gn 11</v>
      </c>
      <c r="K12" s="258"/>
      <c r="L12" s="146" t="s">
        <v>472</v>
      </c>
      <c r="M12" s="139" t="s">
        <v>11</v>
      </c>
      <c r="N12" s="139"/>
    </row>
    <row r="13" spans="1:14" outlineLevel="1">
      <c r="A13" s="139">
        <v>1</v>
      </c>
      <c r="B13" s="139">
        <v>2024</v>
      </c>
      <c r="C13" s="140">
        <v>6</v>
      </c>
      <c r="D13" s="180" t="s">
        <v>473</v>
      </c>
      <c r="E13" s="194" t="s">
        <v>476</v>
      </c>
      <c r="F13" s="145"/>
      <c r="G13" s="201">
        <f t="shared" si="0"/>
        <v>45368</v>
      </c>
      <c r="H13" s="210">
        <f t="shared" si="1"/>
        <v>5</v>
      </c>
      <c r="I13" s="144" t="str">
        <f t="shared" si="1"/>
        <v>Aliança com Abraão</v>
      </c>
      <c r="J13" s="144" t="str">
        <f t="shared" si="1"/>
        <v>Gn 12;15;17</v>
      </c>
      <c r="K13" s="257" t="s">
        <v>22</v>
      </c>
      <c r="L13" s="146"/>
      <c r="M13" s="139" t="s">
        <v>11</v>
      </c>
      <c r="N13" s="139"/>
    </row>
    <row r="14" spans="1:14" outlineLevel="1">
      <c r="A14" s="139">
        <v>1</v>
      </c>
      <c r="B14" s="139">
        <v>2024</v>
      </c>
      <c r="C14" s="140"/>
      <c r="D14" s="181" t="s">
        <v>475</v>
      </c>
      <c r="E14" s="195"/>
      <c r="F14" s="147"/>
      <c r="G14" s="201">
        <f t="shared" si="0"/>
        <v>45375</v>
      </c>
      <c r="H14" s="210">
        <f t="shared" si="1"/>
        <v>6</v>
      </c>
      <c r="I14" s="144" t="str">
        <f t="shared" si="1"/>
        <v>O nascimento de Isaque</v>
      </c>
      <c r="J14" s="144" t="str">
        <f t="shared" si="1"/>
        <v>Gn 21-22; Hb 11.17-19</v>
      </c>
      <c r="K14" s="260"/>
      <c r="L14" s="146"/>
      <c r="M14" s="139" t="s">
        <v>11</v>
      </c>
      <c r="N14" s="139"/>
    </row>
    <row r="15" spans="1:14" outlineLevel="1">
      <c r="A15" s="139">
        <v>1</v>
      </c>
      <c r="B15" s="139">
        <v>2024</v>
      </c>
      <c r="C15" s="140">
        <v>7</v>
      </c>
      <c r="D15" s="180" t="s">
        <v>477</v>
      </c>
      <c r="E15" s="194" t="s">
        <v>479</v>
      </c>
      <c r="F15" s="145"/>
      <c r="G15" s="202">
        <f t="shared" si="0"/>
        <v>45382</v>
      </c>
      <c r="H15" s="210">
        <f t="shared" si="1"/>
        <v>0</v>
      </c>
      <c r="I15" s="148" t="str">
        <f t="shared" si="1"/>
        <v>Domingo de Páscoa</v>
      </c>
      <c r="J15" s="148"/>
      <c r="K15" s="260"/>
      <c r="L15" s="149"/>
      <c r="M15" s="139" t="s">
        <v>11</v>
      </c>
      <c r="N15" s="139"/>
    </row>
    <row r="16" spans="1:14" outlineLevel="1">
      <c r="A16" s="139">
        <v>1</v>
      </c>
      <c r="B16" s="139">
        <v>2024</v>
      </c>
      <c r="C16" s="140">
        <v>8</v>
      </c>
      <c r="D16" s="180" t="s">
        <v>478</v>
      </c>
      <c r="E16" s="194" t="s">
        <v>481</v>
      </c>
      <c r="F16" s="145"/>
      <c r="G16" s="201">
        <f t="shared" si="0"/>
        <v>45389</v>
      </c>
      <c r="H16" s="210">
        <f t="shared" si="1"/>
        <v>7</v>
      </c>
      <c r="I16" s="144" t="str">
        <f t="shared" si="1"/>
        <v>O casamento de Isaque</v>
      </c>
      <c r="J16" s="144" t="str">
        <f t="shared" si="1"/>
        <v>Gn 24</v>
      </c>
      <c r="K16" s="260"/>
      <c r="L16" s="146"/>
      <c r="M16" s="139" t="s">
        <v>11</v>
      </c>
      <c r="N16" s="139"/>
    </row>
    <row r="17" spans="1:14" outlineLevel="1">
      <c r="A17" s="139">
        <v>1</v>
      </c>
      <c r="B17" s="139">
        <v>2024</v>
      </c>
      <c r="C17" s="140">
        <v>9</v>
      </c>
      <c r="D17" s="180" t="s">
        <v>480</v>
      </c>
      <c r="E17" s="194" t="s">
        <v>484</v>
      </c>
      <c r="F17" s="145"/>
      <c r="G17" s="201">
        <f t="shared" si="0"/>
        <v>45396</v>
      </c>
      <c r="H17" s="210">
        <f t="shared" si="1"/>
        <v>8</v>
      </c>
      <c r="I17" s="144" t="str">
        <f t="shared" si="1"/>
        <v>Esaú e Jacó (nascimento e conflito)</v>
      </c>
      <c r="J17" s="144" t="str">
        <f t="shared" si="1"/>
        <v>Gn 25.19 - 28</v>
      </c>
      <c r="K17" s="258"/>
      <c r="L17" s="146" t="s">
        <v>482</v>
      </c>
      <c r="M17" s="139" t="s">
        <v>11</v>
      </c>
      <c r="N17" s="139"/>
    </row>
    <row r="18" spans="1:14" outlineLevel="1">
      <c r="A18" s="139">
        <v>1</v>
      </c>
      <c r="B18" s="139">
        <v>2024</v>
      </c>
      <c r="C18" s="140">
        <v>10</v>
      </c>
      <c r="D18" s="180" t="s">
        <v>483</v>
      </c>
      <c r="E18" s="194" t="s">
        <v>486</v>
      </c>
      <c r="F18" s="145"/>
      <c r="G18" s="201">
        <f t="shared" si="0"/>
        <v>45403</v>
      </c>
      <c r="H18" s="210">
        <f t="shared" si="1"/>
        <v>9</v>
      </c>
      <c r="I18" s="144" t="str">
        <f t="shared" si="1"/>
        <v>Os casamentos de Jacó</v>
      </c>
      <c r="J18" s="144" t="str">
        <f t="shared" si="1"/>
        <v>Gn 29-31</v>
      </c>
      <c r="K18" s="257" t="s">
        <v>32</v>
      </c>
      <c r="L18" s="146"/>
      <c r="M18" s="139" t="s">
        <v>11</v>
      </c>
      <c r="N18" s="139"/>
    </row>
    <row r="19" spans="1:14" outlineLevel="1">
      <c r="A19" s="139">
        <v>1</v>
      </c>
      <c r="B19" s="139">
        <v>2024</v>
      </c>
      <c r="C19" s="140">
        <v>11</v>
      </c>
      <c r="D19" s="180" t="s">
        <v>485</v>
      </c>
      <c r="E19" s="194" t="s">
        <v>489</v>
      </c>
      <c r="F19" s="145"/>
      <c r="G19" s="201">
        <f t="shared" si="0"/>
        <v>45410</v>
      </c>
      <c r="H19" s="210">
        <f t="shared" si="1"/>
        <v>10</v>
      </c>
      <c r="I19" s="144" t="str">
        <f t="shared" si="1"/>
        <v>Esaú e Jacó (reconciliação)</v>
      </c>
      <c r="J19" s="144" t="str">
        <f t="shared" si="1"/>
        <v>Gn 32, 33 e 35</v>
      </c>
      <c r="K19" s="260"/>
      <c r="L19" s="146" t="s">
        <v>487</v>
      </c>
      <c r="M19" s="139" t="s">
        <v>11</v>
      </c>
      <c r="N19" s="139"/>
    </row>
    <row r="20" spans="1:14" outlineLevel="1">
      <c r="A20" s="139">
        <v>1</v>
      </c>
      <c r="B20" s="139">
        <v>2024</v>
      </c>
      <c r="C20" s="140">
        <v>12</v>
      </c>
      <c r="D20" s="180" t="s">
        <v>488</v>
      </c>
      <c r="E20" s="194" t="s">
        <v>492</v>
      </c>
      <c r="F20" s="145"/>
      <c r="G20" s="201">
        <f t="shared" si="0"/>
        <v>45417</v>
      </c>
      <c r="H20" s="210">
        <f t="shared" si="1"/>
        <v>11</v>
      </c>
      <c r="I20" s="144" t="str">
        <f t="shared" si="1"/>
        <v>José vai para  Egito</v>
      </c>
      <c r="J20" s="144" t="str">
        <f t="shared" si="1"/>
        <v>Gn 37, 39</v>
      </c>
      <c r="K20" s="260"/>
      <c r="L20" s="146" t="s">
        <v>490</v>
      </c>
      <c r="M20" s="139" t="s">
        <v>11</v>
      </c>
      <c r="N20" s="139"/>
    </row>
    <row r="21" spans="1:14" outlineLevel="1">
      <c r="A21" s="139">
        <v>1</v>
      </c>
      <c r="B21" s="139">
        <v>2024</v>
      </c>
      <c r="C21" s="140">
        <v>13</v>
      </c>
      <c r="D21" s="180" t="s">
        <v>491</v>
      </c>
      <c r="E21" s="194" t="s">
        <v>495</v>
      </c>
      <c r="F21" s="145"/>
      <c r="G21" s="201">
        <f t="shared" si="0"/>
        <v>45424</v>
      </c>
      <c r="H21" s="210">
        <f t="shared" si="1"/>
        <v>12</v>
      </c>
      <c r="I21" s="144" t="str">
        <f t="shared" si="1"/>
        <v>José no Egito</v>
      </c>
      <c r="J21" s="144" t="str">
        <f t="shared" si="1"/>
        <v>Gn 40-41</v>
      </c>
      <c r="K21" s="258"/>
      <c r="L21" s="146" t="s">
        <v>493</v>
      </c>
      <c r="M21" s="139" t="s">
        <v>11</v>
      </c>
      <c r="N21" s="139"/>
    </row>
    <row r="22" spans="1:14" outlineLevel="1">
      <c r="A22" s="139">
        <v>1</v>
      </c>
      <c r="B22" s="139">
        <v>2024</v>
      </c>
      <c r="C22" s="140">
        <v>14</v>
      </c>
      <c r="D22" s="180" t="s">
        <v>494</v>
      </c>
      <c r="E22" s="194" t="s">
        <v>497</v>
      </c>
      <c r="F22" s="145"/>
      <c r="G22" s="201">
        <f t="shared" si="0"/>
        <v>45431</v>
      </c>
      <c r="H22" s="210">
        <f t="shared" si="1"/>
        <v>13</v>
      </c>
      <c r="I22" s="144" t="str">
        <f t="shared" si="1"/>
        <v>Família de José vai ao Egito</v>
      </c>
      <c r="J22" s="144" t="str">
        <f t="shared" si="1"/>
        <v>Gn 42-50</v>
      </c>
      <c r="K22" s="257" t="s">
        <v>42</v>
      </c>
      <c r="L22" s="146"/>
      <c r="M22" s="139" t="s">
        <v>11</v>
      </c>
      <c r="N22" s="139"/>
    </row>
    <row r="23" spans="1:14" outlineLevel="1">
      <c r="A23" s="139">
        <v>1</v>
      </c>
      <c r="B23" s="139">
        <v>2024</v>
      </c>
      <c r="C23" s="140">
        <v>15</v>
      </c>
      <c r="D23" s="180" t="s">
        <v>498</v>
      </c>
      <c r="E23" s="194" t="s">
        <v>499</v>
      </c>
      <c r="F23" s="145"/>
      <c r="G23" s="201">
        <f t="shared" si="0"/>
        <v>45438</v>
      </c>
      <c r="H23" s="210">
        <f t="shared" si="1"/>
        <v>14</v>
      </c>
      <c r="I23" s="144" t="str">
        <f t="shared" si="1"/>
        <v>Nascimento e chamado de Moisés</v>
      </c>
      <c r="J23" s="144" t="str">
        <f t="shared" si="1"/>
        <v>Ex 1 - 4</v>
      </c>
      <c r="K23" s="260"/>
      <c r="L23" s="146"/>
      <c r="M23" s="139" t="s">
        <v>11</v>
      </c>
      <c r="N23" s="139"/>
    </row>
    <row r="24" spans="1:14" outlineLevel="1">
      <c r="A24" s="139">
        <v>1</v>
      </c>
      <c r="B24" s="139">
        <v>2024</v>
      </c>
      <c r="C24" s="140">
        <v>16</v>
      </c>
      <c r="D24" s="180" t="s">
        <v>500</v>
      </c>
      <c r="E24" s="194" t="s">
        <v>504</v>
      </c>
      <c r="F24" s="145"/>
      <c r="G24" s="201">
        <f t="shared" si="0"/>
        <v>45445</v>
      </c>
      <c r="H24" s="210">
        <f t="shared" si="1"/>
        <v>15</v>
      </c>
      <c r="I24" s="144" t="str">
        <f t="shared" si="1"/>
        <v>Saída do Egito (libertação)</v>
      </c>
      <c r="J24" s="144" t="str">
        <f t="shared" si="1"/>
        <v>Ex 5-12.36</v>
      </c>
      <c r="K24" s="260"/>
      <c r="L24" s="146"/>
      <c r="M24" s="139" t="s">
        <v>11</v>
      </c>
      <c r="N24" s="139"/>
    </row>
    <row r="25" spans="1:14" outlineLevel="1">
      <c r="A25" s="139">
        <v>1</v>
      </c>
      <c r="B25" s="139">
        <v>2024</v>
      </c>
      <c r="C25" s="140">
        <v>17</v>
      </c>
      <c r="D25" s="180" t="s">
        <v>503</v>
      </c>
      <c r="E25" s="194" t="s">
        <v>508</v>
      </c>
      <c r="F25" s="145"/>
      <c r="G25" s="201">
        <f t="shared" si="0"/>
        <v>45452</v>
      </c>
      <c r="H25" s="210">
        <f t="shared" ref="H25:J37" si="2">C24</f>
        <v>16</v>
      </c>
      <c r="I25" s="144" t="str">
        <f t="shared" si="2"/>
        <v>Travessia do Mar Vermelho (livres para adorar)</v>
      </c>
      <c r="J25" s="144" t="str">
        <f t="shared" si="2"/>
        <v>Ex 14-15</v>
      </c>
      <c r="K25" s="258"/>
      <c r="L25" s="146" t="s">
        <v>502</v>
      </c>
      <c r="M25" s="139" t="s">
        <v>11</v>
      </c>
      <c r="N25" s="139"/>
    </row>
    <row r="26" spans="1:14" outlineLevel="1">
      <c r="A26" s="139">
        <v>1</v>
      </c>
      <c r="B26" s="139">
        <v>2024</v>
      </c>
      <c r="C26" s="150">
        <v>18</v>
      </c>
      <c r="D26" s="182" t="s">
        <v>507</v>
      </c>
      <c r="E26" s="194" t="s">
        <v>510</v>
      </c>
      <c r="F26" s="145"/>
      <c r="G26" s="201">
        <f t="shared" si="0"/>
        <v>45459</v>
      </c>
      <c r="H26" s="210">
        <f t="shared" si="2"/>
        <v>17</v>
      </c>
      <c r="I26" s="144" t="str">
        <f t="shared" si="2"/>
        <v>Sustento no deserto - o Maná (providência)</v>
      </c>
      <c r="J26" s="144" t="str">
        <f t="shared" si="2"/>
        <v>Ex 15.22-17</v>
      </c>
      <c r="K26" s="257" t="s">
        <v>62</v>
      </c>
      <c r="L26" s="146" t="s">
        <v>505</v>
      </c>
      <c r="M26" s="139" t="s">
        <v>11</v>
      </c>
      <c r="N26" s="146" t="s">
        <v>506</v>
      </c>
    </row>
    <row r="27" spans="1:14" outlineLevel="1">
      <c r="A27" s="139">
        <v>1</v>
      </c>
      <c r="B27" s="139">
        <v>2024</v>
      </c>
      <c r="C27" s="140">
        <v>19</v>
      </c>
      <c r="D27" s="182" t="s">
        <v>509</v>
      </c>
      <c r="E27" s="194" t="s">
        <v>686</v>
      </c>
      <c r="F27" s="145"/>
      <c r="G27" s="201">
        <f t="shared" si="0"/>
        <v>45466</v>
      </c>
      <c r="H27" s="210">
        <f t="shared" si="2"/>
        <v>18</v>
      </c>
      <c r="I27" s="144" t="str">
        <f t="shared" si="2"/>
        <v>A visita de Jetro a Moisés (governo)</v>
      </c>
      <c r="J27" s="144" t="str">
        <f t="shared" si="2"/>
        <v>Ex 18</v>
      </c>
      <c r="K27" s="260"/>
      <c r="L27" s="146"/>
      <c r="M27" s="139" t="s">
        <v>11</v>
      </c>
      <c r="N27" s="139"/>
    </row>
    <row r="28" spans="1:14" outlineLevel="1">
      <c r="A28" s="139">
        <v>1</v>
      </c>
      <c r="B28" s="139">
        <v>2024</v>
      </c>
      <c r="C28" s="150">
        <v>20</v>
      </c>
      <c r="D28" s="182" t="s">
        <v>512</v>
      </c>
      <c r="E28" s="194" t="s">
        <v>686</v>
      </c>
      <c r="F28" s="145"/>
      <c r="G28" s="201">
        <f t="shared" si="0"/>
        <v>45473</v>
      </c>
      <c r="H28" s="210">
        <f t="shared" si="2"/>
        <v>19</v>
      </c>
      <c r="I28" s="144" t="str">
        <f t="shared" si="2"/>
        <v>Os 10 mandamentos (Lei) - parte 1</v>
      </c>
      <c r="J28" s="144" t="str">
        <f t="shared" si="2"/>
        <v>Ex 19-20 + Dt 6 a 26</v>
      </c>
      <c r="K28" s="260"/>
      <c r="L28" s="146" t="s">
        <v>511</v>
      </c>
      <c r="M28" s="139" t="s">
        <v>11</v>
      </c>
      <c r="N28" s="139"/>
    </row>
    <row r="29" spans="1:14" outlineLevel="1">
      <c r="A29" s="139">
        <v>1</v>
      </c>
      <c r="B29" s="139">
        <v>2024</v>
      </c>
      <c r="C29" s="140">
        <v>21</v>
      </c>
      <c r="D29" s="182" t="s">
        <v>515</v>
      </c>
      <c r="E29" s="194" t="s">
        <v>79</v>
      </c>
      <c r="F29" s="145"/>
      <c r="G29" s="201">
        <f t="shared" si="0"/>
        <v>45480</v>
      </c>
      <c r="H29" s="210">
        <f t="shared" si="2"/>
        <v>20</v>
      </c>
      <c r="I29" s="144" t="str">
        <f t="shared" si="2"/>
        <v>Os 10 mandamentos (Lei) - parte 2</v>
      </c>
      <c r="J29" s="144" t="str">
        <f t="shared" si="2"/>
        <v>Ex 19-20 + Dt 6 a 26</v>
      </c>
      <c r="K29" s="260"/>
      <c r="L29" s="146" t="s">
        <v>514</v>
      </c>
      <c r="M29" s="139" t="s">
        <v>11</v>
      </c>
      <c r="N29" s="139"/>
    </row>
    <row r="30" spans="1:14" outlineLevel="1">
      <c r="A30" s="139">
        <v>1</v>
      </c>
      <c r="B30" s="139">
        <v>2024</v>
      </c>
      <c r="C30" s="150">
        <v>22</v>
      </c>
      <c r="D30" s="182" t="s">
        <v>517</v>
      </c>
      <c r="E30" s="194" t="s">
        <v>519</v>
      </c>
      <c r="F30" s="145"/>
      <c r="G30" s="201">
        <f t="shared" si="0"/>
        <v>45487</v>
      </c>
      <c r="H30" s="210">
        <f t="shared" si="2"/>
        <v>21</v>
      </c>
      <c r="I30" s="144" t="str">
        <f t="shared" si="2"/>
        <v>O Bezerro de Ouro (idolatria)</v>
      </c>
      <c r="J30" s="144" t="str">
        <f t="shared" si="2"/>
        <v>Ex 32; 34 e Lv</v>
      </c>
      <c r="K30" s="260"/>
      <c r="L30" s="146" t="s">
        <v>516</v>
      </c>
      <c r="M30" s="139" t="s">
        <v>11</v>
      </c>
      <c r="N30" s="139"/>
    </row>
    <row r="31" spans="1:14" outlineLevel="1">
      <c r="A31" s="139">
        <v>1</v>
      </c>
      <c r="B31" s="139">
        <v>2024</v>
      </c>
      <c r="C31" s="140">
        <v>23</v>
      </c>
      <c r="D31" s="182" t="s">
        <v>518</v>
      </c>
      <c r="E31" s="194" t="s">
        <v>519</v>
      </c>
      <c r="F31" s="145"/>
      <c r="G31" s="201">
        <f t="shared" si="0"/>
        <v>45494</v>
      </c>
      <c r="H31" s="210">
        <f t="shared" si="2"/>
        <v>22</v>
      </c>
      <c r="I31" s="144" t="str">
        <f t="shared" si="2"/>
        <v>O Tabernáculo (presença de Deus) - parte 1</v>
      </c>
      <c r="J31" s="144" t="str">
        <f t="shared" si="2"/>
        <v>Ex 35-40</v>
      </c>
      <c r="K31" s="258"/>
      <c r="L31" s="146"/>
      <c r="M31" s="139" t="s">
        <v>11</v>
      </c>
      <c r="N31" s="139"/>
    </row>
    <row r="32" spans="1:14" outlineLevel="1">
      <c r="A32" s="139">
        <v>1</v>
      </c>
      <c r="B32" s="139">
        <v>2024</v>
      </c>
      <c r="C32" s="150">
        <v>24</v>
      </c>
      <c r="D32" s="182" t="s">
        <v>522</v>
      </c>
      <c r="E32" s="194" t="s">
        <v>524</v>
      </c>
      <c r="F32" s="145"/>
      <c r="G32" s="201">
        <f t="shared" si="0"/>
        <v>45501</v>
      </c>
      <c r="H32" s="210">
        <f t="shared" si="2"/>
        <v>23</v>
      </c>
      <c r="I32" s="144" t="str">
        <f t="shared" si="2"/>
        <v>O Tabernáculo (presença de Deus) - parte 2</v>
      </c>
      <c r="J32" s="144" t="str">
        <f t="shared" si="2"/>
        <v>Ex 35-40</v>
      </c>
      <c r="K32" s="257" t="s">
        <v>520</v>
      </c>
      <c r="L32" s="146" t="s">
        <v>521</v>
      </c>
      <c r="M32" s="139" t="s">
        <v>11</v>
      </c>
      <c r="N32" s="139"/>
    </row>
    <row r="33" spans="1:14" ht="29.1" outlineLevel="1">
      <c r="A33" s="139">
        <v>1</v>
      </c>
      <c r="B33" s="139">
        <v>2024</v>
      </c>
      <c r="C33" s="140">
        <v>25</v>
      </c>
      <c r="D33" s="182" t="s">
        <v>90</v>
      </c>
      <c r="E33" s="194" t="s">
        <v>527</v>
      </c>
      <c r="F33" s="145"/>
      <c r="G33" s="201">
        <f t="shared" si="0"/>
        <v>45508</v>
      </c>
      <c r="H33" s="210">
        <f t="shared" si="2"/>
        <v>24</v>
      </c>
      <c r="I33" s="144" t="str">
        <f t="shared" si="2"/>
        <v>Regras para o Sacrifício</v>
      </c>
      <c r="J33" s="144" t="str">
        <f t="shared" si="2"/>
        <v>Lv</v>
      </c>
      <c r="K33" s="260"/>
      <c r="L33" s="146" t="s">
        <v>523</v>
      </c>
      <c r="M33" s="139" t="s">
        <v>11</v>
      </c>
      <c r="N33" s="139"/>
    </row>
    <row r="34" spans="1:14" outlineLevel="1">
      <c r="A34" s="139">
        <v>1</v>
      </c>
      <c r="B34" s="139">
        <v>2024</v>
      </c>
      <c r="C34" s="150">
        <v>26</v>
      </c>
      <c r="D34" s="182" t="s">
        <v>526</v>
      </c>
      <c r="E34" s="194" t="s">
        <v>94</v>
      </c>
      <c r="F34" s="145"/>
      <c r="G34" s="201">
        <f t="shared" si="0"/>
        <v>45515</v>
      </c>
      <c r="H34" s="210">
        <f t="shared" si="2"/>
        <v>25</v>
      </c>
      <c r="I34" s="144" t="str">
        <f t="shared" si="2"/>
        <v>Os espias e a rebelião do povo</v>
      </c>
      <c r="J34" s="144" t="str">
        <f t="shared" si="2"/>
        <v>Introdução ao livro de Números + Nm 13-14</v>
      </c>
      <c r="K34" s="258"/>
      <c r="L34" s="146" t="s">
        <v>525</v>
      </c>
      <c r="M34" s="139" t="s">
        <v>11</v>
      </c>
      <c r="N34" s="139"/>
    </row>
    <row r="35" spans="1:14" outlineLevel="1">
      <c r="A35" s="139">
        <v>1</v>
      </c>
      <c r="B35" s="139">
        <v>2024</v>
      </c>
      <c r="C35" s="140">
        <v>27</v>
      </c>
      <c r="D35" s="182" t="s">
        <v>530</v>
      </c>
      <c r="E35" s="194" t="s">
        <v>98</v>
      </c>
      <c r="F35" s="145"/>
      <c r="G35" s="201">
        <f t="shared" si="0"/>
        <v>45522</v>
      </c>
      <c r="H35" s="210">
        <f>C34</f>
        <v>26</v>
      </c>
      <c r="I35" s="144" t="s">
        <v>687</v>
      </c>
      <c r="J35" s="144" t="str">
        <f t="shared" si="2"/>
        <v>Números 20–21; João 3: 14-15</v>
      </c>
      <c r="K35" s="257" t="s">
        <v>528</v>
      </c>
      <c r="L35" s="146"/>
      <c r="M35" s="139" t="s">
        <v>11</v>
      </c>
      <c r="N35" s="139" t="s">
        <v>529</v>
      </c>
    </row>
    <row r="36" spans="1:14" outlineLevel="1">
      <c r="A36" s="139">
        <v>1</v>
      </c>
      <c r="B36" s="139">
        <v>2024</v>
      </c>
      <c r="C36" s="150">
        <v>28</v>
      </c>
      <c r="D36" s="182" t="s">
        <v>532</v>
      </c>
      <c r="E36" s="194" t="s">
        <v>102</v>
      </c>
      <c r="F36" s="145"/>
      <c r="G36" s="201">
        <f t="shared" si="0"/>
        <v>45529</v>
      </c>
      <c r="H36" s="210">
        <f>C35</f>
        <v>27</v>
      </c>
      <c r="I36" s="144" t="str">
        <f>D35</f>
        <v>A morte de Moisés</v>
      </c>
      <c r="J36" s="144" t="str">
        <f t="shared" si="2"/>
        <v>Dt 31–34</v>
      </c>
      <c r="K36" s="260"/>
      <c r="L36" s="146" t="s">
        <v>531</v>
      </c>
      <c r="M36" s="139" t="s">
        <v>11</v>
      </c>
      <c r="N36" s="139" t="s">
        <v>529</v>
      </c>
    </row>
    <row r="37" spans="1:14" outlineLevel="1">
      <c r="A37" s="139">
        <v>1</v>
      </c>
      <c r="B37" s="139">
        <v>2024</v>
      </c>
      <c r="C37" s="140">
        <v>29</v>
      </c>
      <c r="D37" s="182" t="s">
        <v>534</v>
      </c>
      <c r="E37" s="194" t="s">
        <v>105</v>
      </c>
      <c r="F37" s="145"/>
      <c r="G37" s="201">
        <f t="shared" si="0"/>
        <v>45536</v>
      </c>
      <c r="H37" s="210">
        <f>C36</f>
        <v>28</v>
      </c>
      <c r="I37" s="144" t="str">
        <f>D36</f>
        <v>Travessia do Jordão</v>
      </c>
      <c r="J37" s="144" t="str">
        <f t="shared" si="2"/>
        <v>Josué 1–4</v>
      </c>
      <c r="K37" s="258"/>
      <c r="L37" s="146" t="s">
        <v>533</v>
      </c>
      <c r="M37" s="139" t="s">
        <v>11</v>
      </c>
      <c r="N37" s="139"/>
    </row>
    <row r="38" spans="1:14" outlineLevel="1">
      <c r="A38" s="139">
        <v>1</v>
      </c>
      <c r="B38" s="139">
        <v>2024</v>
      </c>
      <c r="C38" s="139"/>
      <c r="D38" s="183" t="s">
        <v>688</v>
      </c>
      <c r="E38" s="196"/>
      <c r="F38" s="152"/>
      <c r="G38" s="203">
        <f t="shared" si="0"/>
        <v>45543</v>
      </c>
      <c r="H38" s="250"/>
      <c r="I38" s="153" t="s">
        <v>688</v>
      </c>
      <c r="J38" s="146"/>
      <c r="K38" s="257" t="s">
        <v>535</v>
      </c>
      <c r="L38" s="146" t="s">
        <v>536</v>
      </c>
      <c r="M38" s="139" t="s">
        <v>11</v>
      </c>
      <c r="N38" s="146" t="s">
        <v>537</v>
      </c>
    </row>
    <row r="39" spans="1:14" outlineLevel="1">
      <c r="A39" s="139">
        <v>1</v>
      </c>
      <c r="B39" s="139">
        <v>2024</v>
      </c>
      <c r="C39" s="140">
        <v>30</v>
      </c>
      <c r="D39" s="182" t="s">
        <v>538</v>
      </c>
      <c r="E39" s="194" t="s">
        <v>541</v>
      </c>
      <c r="F39" s="145"/>
      <c r="G39" s="201">
        <f t="shared" si="0"/>
        <v>45550</v>
      </c>
      <c r="H39" s="210">
        <f>C37</f>
        <v>29</v>
      </c>
      <c r="I39" s="144" t="str">
        <f>D37</f>
        <v>A batalha de Jericó</v>
      </c>
      <c r="J39" s="144" t="str">
        <f>E37</f>
        <v>Josué 2; 6; Josué 10–11; 24</v>
      </c>
      <c r="K39" s="258"/>
      <c r="L39" s="146"/>
      <c r="M39" s="139" t="s">
        <v>11</v>
      </c>
      <c r="N39" s="146" t="s">
        <v>539</v>
      </c>
    </row>
    <row r="40" spans="1:14" outlineLevel="1">
      <c r="A40" s="139">
        <v>1</v>
      </c>
      <c r="B40" s="139">
        <v>2024</v>
      </c>
      <c r="C40" s="140">
        <v>31</v>
      </c>
      <c r="D40" s="184" t="s">
        <v>540</v>
      </c>
      <c r="E40" s="197" t="s">
        <v>115</v>
      </c>
      <c r="F40" s="156"/>
      <c r="G40" s="204">
        <f t="shared" si="0"/>
        <v>45557</v>
      </c>
      <c r="H40" s="211">
        <f t="shared" ref="H40:J45" si="3">C39</f>
        <v>30</v>
      </c>
      <c r="I40" s="155" t="str">
        <f t="shared" si="3"/>
        <v>Ciclos de Rebelião - Débora e Baraque</v>
      </c>
      <c r="J40" s="155" t="str">
        <f t="shared" si="3"/>
        <v>Juízes 1-5</v>
      </c>
      <c r="K40" s="257" t="s">
        <v>542</v>
      </c>
      <c r="L40" s="146" t="s">
        <v>543</v>
      </c>
      <c r="M40" s="139" t="s">
        <v>11</v>
      </c>
      <c r="N40" s="146" t="s">
        <v>537</v>
      </c>
    </row>
    <row r="41" spans="1:14" outlineLevel="1">
      <c r="A41" s="139">
        <v>1</v>
      </c>
      <c r="B41" s="139">
        <v>2024</v>
      </c>
      <c r="C41" s="140">
        <v>32</v>
      </c>
      <c r="D41" s="184" t="s">
        <v>544</v>
      </c>
      <c r="E41" s="197" t="s">
        <v>118</v>
      </c>
      <c r="F41" s="156"/>
      <c r="G41" s="204">
        <f t="shared" si="0"/>
        <v>45564</v>
      </c>
      <c r="H41" s="211">
        <f t="shared" si="3"/>
        <v>31</v>
      </c>
      <c r="I41" s="155" t="str">
        <f t="shared" si="3"/>
        <v>Ciclos de Rebelião - Gideão</v>
      </c>
      <c r="J41" s="155" t="str">
        <f t="shared" si="3"/>
        <v>Juízes 6–8</v>
      </c>
      <c r="K41" s="260"/>
      <c r="L41" s="146" t="s">
        <v>545</v>
      </c>
      <c r="M41" s="139" t="s">
        <v>11</v>
      </c>
      <c r="N41" s="146" t="s">
        <v>537</v>
      </c>
    </row>
    <row r="42" spans="1:14" outlineLevel="1">
      <c r="A42" s="139">
        <v>1</v>
      </c>
      <c r="B42" s="139">
        <v>2024</v>
      </c>
      <c r="C42" s="140">
        <v>33</v>
      </c>
      <c r="D42" s="184" t="s">
        <v>546</v>
      </c>
      <c r="E42" s="197" t="s">
        <v>121</v>
      </c>
      <c r="F42" s="156"/>
      <c r="G42" s="204">
        <f t="shared" si="0"/>
        <v>45571</v>
      </c>
      <c r="H42" s="211">
        <f t="shared" si="3"/>
        <v>32</v>
      </c>
      <c r="I42" s="155" t="str">
        <f t="shared" si="3"/>
        <v>Ciclos de Rebelião - Sansão</v>
      </c>
      <c r="J42" s="155" t="str">
        <f t="shared" si="3"/>
        <v>Juízes 13–16</v>
      </c>
      <c r="K42" s="260"/>
      <c r="L42" s="146" t="s">
        <v>547</v>
      </c>
      <c r="M42" s="139" t="s">
        <v>11</v>
      </c>
      <c r="N42" s="146" t="s">
        <v>431</v>
      </c>
    </row>
    <row r="43" spans="1:14" outlineLevel="1">
      <c r="A43" s="139">
        <v>1</v>
      </c>
      <c r="B43" s="139">
        <v>2024</v>
      </c>
      <c r="C43" s="140">
        <v>34</v>
      </c>
      <c r="D43" s="184" t="s">
        <v>548</v>
      </c>
      <c r="E43" s="197" t="s">
        <v>150</v>
      </c>
      <c r="F43" s="156"/>
      <c r="G43" s="204">
        <f t="shared" si="0"/>
        <v>45578</v>
      </c>
      <c r="H43" s="211">
        <f t="shared" si="3"/>
        <v>33</v>
      </c>
      <c r="I43" s="155" t="str">
        <f t="shared" si="3"/>
        <v>Rute e Boaz</v>
      </c>
      <c r="J43" s="155" t="str">
        <f t="shared" si="3"/>
        <v>Rute 1 a 4</v>
      </c>
      <c r="K43" s="258"/>
      <c r="L43" s="146" t="s">
        <v>549</v>
      </c>
      <c r="M43" s="139" t="s">
        <v>11</v>
      </c>
      <c r="N43" s="139"/>
    </row>
    <row r="44" spans="1:14" outlineLevel="1">
      <c r="A44" s="139">
        <v>1</v>
      </c>
      <c r="B44" s="139">
        <v>2024</v>
      </c>
      <c r="C44" s="139">
        <v>35</v>
      </c>
      <c r="D44" s="185" t="s">
        <v>152</v>
      </c>
      <c r="E44" s="197" t="s">
        <v>153</v>
      </c>
      <c r="F44" s="156"/>
      <c r="G44" s="204">
        <f t="shared" si="0"/>
        <v>45585</v>
      </c>
      <c r="H44" s="211">
        <f t="shared" si="3"/>
        <v>34</v>
      </c>
      <c r="I44" s="155" t="str">
        <f t="shared" si="3"/>
        <v>O chamado de Samuel como profeta</v>
      </c>
      <c r="J44" s="155" t="str">
        <f t="shared" si="3"/>
        <v>1 Samuel 1–3</v>
      </c>
      <c r="K44" s="257" t="s">
        <v>550</v>
      </c>
      <c r="L44" s="146"/>
      <c r="M44" s="139" t="s">
        <v>11</v>
      </c>
      <c r="N44" s="139"/>
    </row>
    <row r="45" spans="1:14" outlineLevel="1">
      <c r="A45" s="139">
        <v>1</v>
      </c>
      <c r="B45" s="139">
        <v>2024</v>
      </c>
      <c r="C45" s="139">
        <v>36</v>
      </c>
      <c r="D45" s="185" t="s">
        <v>156</v>
      </c>
      <c r="E45" s="197" t="s">
        <v>157</v>
      </c>
      <c r="F45" s="156"/>
      <c r="G45" s="204">
        <f t="shared" si="0"/>
        <v>45592</v>
      </c>
      <c r="H45" s="211">
        <f t="shared" si="3"/>
        <v>35</v>
      </c>
      <c r="I45" s="155" t="str">
        <f t="shared" si="3"/>
        <v>Icabod – Foi-se a glória</v>
      </c>
      <c r="J45" s="155" t="str">
        <f t="shared" si="3"/>
        <v>1 Samuel 4–7</v>
      </c>
      <c r="K45" s="258"/>
      <c r="L45" s="146" t="s">
        <v>551</v>
      </c>
      <c r="M45" s="139" t="s">
        <v>11</v>
      </c>
      <c r="N45" s="139"/>
    </row>
    <row r="46" spans="1:14" ht="15" customHeight="1" outlineLevel="1">
      <c r="A46" s="139">
        <v>1</v>
      </c>
      <c r="B46" s="139">
        <v>2024</v>
      </c>
      <c r="C46" s="139"/>
      <c r="D46" s="186" t="s">
        <v>691</v>
      </c>
      <c r="E46" s="198" t="s">
        <v>138</v>
      </c>
      <c r="F46" s="157"/>
      <c r="G46" s="203">
        <f t="shared" si="0"/>
        <v>45599</v>
      </c>
      <c r="H46" s="250">
        <f>C45</f>
        <v>36</v>
      </c>
      <c r="I46" s="153" t="s">
        <v>692</v>
      </c>
      <c r="J46" s="153" t="s">
        <v>693</v>
      </c>
      <c r="K46" s="257" t="s">
        <v>553</v>
      </c>
      <c r="L46" s="146"/>
      <c r="M46" s="139" t="s">
        <v>11</v>
      </c>
      <c r="N46" s="139"/>
    </row>
    <row r="47" spans="1:14" outlineLevel="1">
      <c r="A47" s="139">
        <v>1</v>
      </c>
      <c r="B47" s="139">
        <v>2024</v>
      </c>
      <c r="C47" s="158">
        <v>37</v>
      </c>
      <c r="D47" s="185" t="s">
        <v>552</v>
      </c>
      <c r="E47" s="197" t="s">
        <v>160</v>
      </c>
      <c r="F47" s="156" t="s">
        <v>694</v>
      </c>
      <c r="G47" s="204">
        <f t="shared" si="0"/>
        <v>45606</v>
      </c>
      <c r="H47" s="212">
        <v>37</v>
      </c>
      <c r="I47" s="154" t="s">
        <v>553</v>
      </c>
      <c r="J47" s="155" t="s">
        <v>695</v>
      </c>
      <c r="K47" s="260"/>
      <c r="L47" s="146"/>
      <c r="M47" s="139" t="s">
        <v>11</v>
      </c>
      <c r="N47" s="139"/>
    </row>
    <row r="48" spans="1:14" outlineLevel="1">
      <c r="A48" s="139">
        <v>1</v>
      </c>
      <c r="B48" s="139">
        <v>2024</v>
      </c>
      <c r="C48" s="158">
        <v>38</v>
      </c>
      <c r="D48" s="185" t="s">
        <v>552</v>
      </c>
      <c r="E48" s="197" t="s">
        <v>696</v>
      </c>
      <c r="F48" s="156" t="s">
        <v>697</v>
      </c>
      <c r="G48" s="204">
        <f t="shared" si="0"/>
        <v>45613</v>
      </c>
      <c r="H48" s="212">
        <f>C48</f>
        <v>38</v>
      </c>
      <c r="I48" s="154" t="str">
        <f>D48</f>
        <v>Queda de Saul</v>
      </c>
      <c r="J48" s="155" t="str">
        <f>E48</f>
        <v>1 Sm 16 a 24</v>
      </c>
      <c r="K48" s="260"/>
      <c r="L48" s="146"/>
      <c r="M48" s="139" t="s">
        <v>11</v>
      </c>
      <c r="N48" s="139"/>
    </row>
    <row r="49" spans="1:14" outlineLevel="1">
      <c r="A49" s="139">
        <v>1</v>
      </c>
      <c r="B49" s="139">
        <v>2024</v>
      </c>
      <c r="C49" s="158">
        <v>39</v>
      </c>
      <c r="D49" s="185" t="s">
        <v>698</v>
      </c>
      <c r="E49" s="197" t="s">
        <v>699</v>
      </c>
      <c r="F49" s="156" t="s">
        <v>700</v>
      </c>
      <c r="G49" s="204">
        <f t="shared" si="0"/>
        <v>45620</v>
      </c>
      <c r="H49" s="211">
        <f t="shared" ref="H49:J52" si="4">C49</f>
        <v>39</v>
      </c>
      <c r="I49" s="155" t="str">
        <f t="shared" si="4"/>
        <v>Fim do reinado de Saul</v>
      </c>
      <c r="J49" s="155" t="str">
        <f t="shared" si="4"/>
        <v>1 Sm 25 a 31</v>
      </c>
      <c r="K49" s="260"/>
      <c r="L49" s="146"/>
      <c r="M49" s="139" t="s">
        <v>11</v>
      </c>
      <c r="N49" s="139"/>
    </row>
    <row r="50" spans="1:14" ht="14.45" customHeight="1" outlineLevel="1">
      <c r="A50" s="139">
        <v>1</v>
      </c>
      <c r="B50" s="139">
        <v>2024</v>
      </c>
      <c r="C50" s="158">
        <v>40</v>
      </c>
      <c r="D50" s="185" t="s">
        <v>554</v>
      </c>
      <c r="E50" s="197" t="s">
        <v>701</v>
      </c>
      <c r="F50" s="156" t="s">
        <v>702</v>
      </c>
      <c r="G50" s="204">
        <f t="shared" si="0"/>
        <v>45627</v>
      </c>
      <c r="H50" s="211">
        <f t="shared" si="4"/>
        <v>40</v>
      </c>
      <c r="I50" s="159" t="s">
        <v>574</v>
      </c>
      <c r="J50" s="160"/>
      <c r="K50" s="261" t="s">
        <v>557</v>
      </c>
      <c r="L50" s="146"/>
      <c r="M50" s="139" t="s">
        <v>11</v>
      </c>
      <c r="N50" s="139"/>
    </row>
    <row r="51" spans="1:14" outlineLevel="1">
      <c r="A51" s="139">
        <v>1</v>
      </c>
      <c r="B51" s="139">
        <v>2024</v>
      </c>
      <c r="C51" s="158">
        <v>41</v>
      </c>
      <c r="D51" s="185" t="s">
        <v>555</v>
      </c>
      <c r="E51" s="197" t="s">
        <v>703</v>
      </c>
      <c r="F51" s="156" t="s">
        <v>704</v>
      </c>
      <c r="G51" s="204">
        <f t="shared" si="0"/>
        <v>45634</v>
      </c>
      <c r="H51" s="211">
        <f t="shared" si="4"/>
        <v>41</v>
      </c>
      <c r="I51" s="155" t="str">
        <f>D50</f>
        <v>O reinado de Davi - parte 1</v>
      </c>
      <c r="J51" s="155" t="str">
        <f>E50</f>
        <v>2 Sm 1 a 10</v>
      </c>
      <c r="K51" s="261"/>
      <c r="L51" s="146"/>
      <c r="M51" s="139" t="s">
        <v>11</v>
      </c>
      <c r="N51" s="139"/>
    </row>
    <row r="52" spans="1:14" outlineLevel="1">
      <c r="A52" s="139">
        <v>1</v>
      </c>
      <c r="B52" s="139">
        <v>2024</v>
      </c>
      <c r="C52" s="158">
        <v>42</v>
      </c>
      <c r="D52" s="185" t="s">
        <v>558</v>
      </c>
      <c r="E52" s="197" t="s">
        <v>561</v>
      </c>
      <c r="F52" s="161" t="s">
        <v>697</v>
      </c>
      <c r="G52" s="204">
        <f t="shared" si="0"/>
        <v>45641</v>
      </c>
      <c r="H52" s="211">
        <f t="shared" si="4"/>
        <v>42</v>
      </c>
      <c r="I52" s="155" t="str">
        <f>D51</f>
        <v>O reinado de Davi - parte 2</v>
      </c>
      <c r="J52" s="155" t="str">
        <f>E51</f>
        <v>2 Sm 11 a 24</v>
      </c>
      <c r="K52" s="261"/>
      <c r="L52" s="146"/>
      <c r="M52" s="139" t="s">
        <v>11</v>
      </c>
      <c r="N52" s="139"/>
    </row>
    <row r="53" spans="1:14" outlineLevel="1">
      <c r="A53" s="139">
        <v>1</v>
      </c>
      <c r="B53" s="139">
        <v>2024</v>
      </c>
      <c r="C53" s="139"/>
      <c r="D53" s="187" t="s">
        <v>429</v>
      </c>
      <c r="E53" s="188"/>
      <c r="F53" s="162"/>
      <c r="G53" s="205">
        <f t="shared" si="0"/>
        <v>45648</v>
      </c>
      <c r="H53" s="213"/>
      <c r="I53" s="149" t="s">
        <v>429</v>
      </c>
      <c r="J53" s="146"/>
      <c r="K53" s="146"/>
      <c r="L53" s="146"/>
      <c r="M53" s="139" t="s">
        <v>11</v>
      </c>
      <c r="N53" s="139"/>
    </row>
    <row r="54" spans="1:14" outlineLevel="1">
      <c r="A54" s="139">
        <v>1</v>
      </c>
      <c r="B54" s="139">
        <v>2024</v>
      </c>
      <c r="C54" s="139"/>
      <c r="D54" s="187" t="s">
        <v>430</v>
      </c>
      <c r="E54" s="188"/>
      <c r="F54" s="162"/>
      <c r="G54" s="205">
        <f t="shared" si="0"/>
        <v>45655</v>
      </c>
      <c r="H54" s="213"/>
      <c r="I54" s="149" t="s">
        <v>430</v>
      </c>
      <c r="J54" s="146"/>
      <c r="K54" s="146"/>
      <c r="L54" s="146"/>
      <c r="M54" s="139" t="s">
        <v>11</v>
      </c>
      <c r="N54" s="139"/>
    </row>
    <row r="55" spans="1:14" ht="14.45" customHeight="1" outlineLevel="1">
      <c r="A55" s="139">
        <v>2</v>
      </c>
      <c r="B55" s="139">
        <v>2025</v>
      </c>
      <c r="C55" s="139">
        <v>43</v>
      </c>
      <c r="D55" s="188" t="s">
        <v>567</v>
      </c>
      <c r="E55" s="188" t="s">
        <v>567</v>
      </c>
      <c r="F55" s="164" t="s">
        <v>694</v>
      </c>
      <c r="G55" s="205">
        <f t="shared" si="0"/>
        <v>45662</v>
      </c>
      <c r="H55" s="213">
        <v>43</v>
      </c>
      <c r="I55" s="146" t="s">
        <v>705</v>
      </c>
      <c r="J55" s="146" t="s">
        <v>706</v>
      </c>
      <c r="K55" s="257" t="s">
        <v>571</v>
      </c>
      <c r="L55" s="146"/>
      <c r="M55" s="139" t="s">
        <v>11</v>
      </c>
      <c r="N55" s="139"/>
    </row>
    <row r="56" spans="1:14" outlineLevel="1">
      <c r="A56" s="139">
        <v>2</v>
      </c>
      <c r="B56" s="139">
        <v>2025</v>
      </c>
      <c r="C56" s="139">
        <v>44</v>
      </c>
      <c r="D56" s="189" t="s">
        <v>567</v>
      </c>
      <c r="E56" s="189" t="s">
        <v>567</v>
      </c>
      <c r="F56" s="165" t="s">
        <v>697</v>
      </c>
      <c r="G56" s="205">
        <f t="shared" si="0"/>
        <v>45669</v>
      </c>
      <c r="H56" s="250">
        <v>44</v>
      </c>
      <c r="I56" s="146" t="str">
        <f t="shared" ref="I56:I61" si="5">D55</f>
        <v>Eclesiastes</v>
      </c>
      <c r="J56" s="146" t="s">
        <v>707</v>
      </c>
      <c r="K56" s="260"/>
      <c r="L56" s="146"/>
      <c r="M56" s="139" t="s">
        <v>11</v>
      </c>
      <c r="N56" s="139"/>
    </row>
    <row r="57" spans="1:14" outlineLevel="1">
      <c r="A57" s="139">
        <v>2</v>
      </c>
      <c r="B57" s="139">
        <v>2025</v>
      </c>
      <c r="C57" s="139">
        <v>45</v>
      </c>
      <c r="D57" s="188" t="s">
        <v>572</v>
      </c>
      <c r="E57" s="188" t="s">
        <v>572</v>
      </c>
      <c r="F57" s="165" t="s">
        <v>700</v>
      </c>
      <c r="G57" s="205">
        <f t="shared" si="0"/>
        <v>45676</v>
      </c>
      <c r="H57" s="250">
        <v>44</v>
      </c>
      <c r="I57" s="146" t="str">
        <f t="shared" si="5"/>
        <v>Eclesiastes</v>
      </c>
      <c r="J57" s="146" t="s">
        <v>708</v>
      </c>
      <c r="K57" s="260"/>
      <c r="L57" s="146"/>
      <c r="M57" s="139" t="s">
        <v>11</v>
      </c>
      <c r="N57" s="139"/>
    </row>
    <row r="58" spans="1:14" outlineLevel="1">
      <c r="A58" s="139">
        <v>2</v>
      </c>
      <c r="B58" s="139">
        <v>2025</v>
      </c>
      <c r="C58" s="139">
        <v>46</v>
      </c>
      <c r="D58" s="188" t="s">
        <v>188</v>
      </c>
      <c r="E58" s="188" t="s">
        <v>188</v>
      </c>
      <c r="F58" s="165" t="s">
        <v>704</v>
      </c>
      <c r="G58" s="205">
        <f t="shared" si="0"/>
        <v>45683</v>
      </c>
      <c r="H58" s="213">
        <f>C57</f>
        <v>45</v>
      </c>
      <c r="I58" s="146" t="str">
        <f>D57</f>
        <v>Cantares</v>
      </c>
      <c r="J58" s="146"/>
      <c r="K58" s="260"/>
      <c r="L58" s="146"/>
      <c r="M58" s="139" t="s">
        <v>11</v>
      </c>
      <c r="N58" s="139"/>
    </row>
    <row r="59" spans="1:14" outlineLevel="1">
      <c r="A59" s="139">
        <v>2</v>
      </c>
      <c r="B59" s="139">
        <v>2025</v>
      </c>
      <c r="C59" s="139">
        <v>47</v>
      </c>
      <c r="D59" s="188" t="s">
        <v>188</v>
      </c>
      <c r="E59" s="188" t="s">
        <v>188</v>
      </c>
      <c r="F59" s="164" t="s">
        <v>694</v>
      </c>
      <c r="G59" s="205">
        <f t="shared" si="0"/>
        <v>45690</v>
      </c>
      <c r="H59" s="213">
        <f>C58</f>
        <v>46</v>
      </c>
      <c r="I59" s="146" t="str">
        <f>D58</f>
        <v>Provérbios</v>
      </c>
      <c r="J59" s="146"/>
      <c r="K59" s="260"/>
      <c r="L59" s="146"/>
      <c r="M59" s="139" t="s">
        <v>11</v>
      </c>
      <c r="N59" s="139"/>
    </row>
    <row r="60" spans="1:14" ht="29.1" outlineLevel="1">
      <c r="A60" s="139">
        <v>2</v>
      </c>
      <c r="B60" s="139">
        <v>2025</v>
      </c>
      <c r="C60" s="139">
        <v>48</v>
      </c>
      <c r="D60" s="188" t="s">
        <v>709</v>
      </c>
      <c r="E60" s="129" t="s">
        <v>565</v>
      </c>
      <c r="F60" s="165" t="s">
        <v>704</v>
      </c>
      <c r="G60" s="205">
        <f t="shared" si="0"/>
        <v>45697</v>
      </c>
      <c r="H60" s="213">
        <f>C52</f>
        <v>42</v>
      </c>
      <c r="I60" s="146" t="str">
        <f>D52</f>
        <v>O reinado de Salomão - parte 1</v>
      </c>
      <c r="J60" s="146"/>
      <c r="K60" s="255"/>
      <c r="L60" s="146"/>
      <c r="M60" s="139" t="s">
        <v>11</v>
      </c>
      <c r="N60" s="139"/>
    </row>
    <row r="61" spans="1:14" outlineLevel="1">
      <c r="A61" s="139">
        <v>2</v>
      </c>
      <c r="B61" s="139">
        <v>2025</v>
      </c>
      <c r="C61" s="139">
        <v>49</v>
      </c>
      <c r="D61" s="189" t="s">
        <v>564</v>
      </c>
      <c r="E61" s="172" t="s">
        <v>568</v>
      </c>
      <c r="F61" s="165" t="s">
        <v>700</v>
      </c>
      <c r="G61" s="205">
        <f t="shared" si="0"/>
        <v>45704</v>
      </c>
      <c r="H61" s="213">
        <f>C60</f>
        <v>48</v>
      </c>
      <c r="I61" s="146" t="str">
        <f t="shared" si="5"/>
        <v>O reinado de Salomão - Construção do templo (adultos - retomar a parte 1)</v>
      </c>
      <c r="J61" s="146" t="str">
        <f>E60</f>
        <v>1 Rs 6-8</v>
      </c>
      <c r="K61" s="255"/>
      <c r="L61" s="146"/>
      <c r="M61" s="139" t="s">
        <v>11</v>
      </c>
      <c r="N61" s="139"/>
    </row>
    <row r="62" spans="1:14" outlineLevel="1">
      <c r="A62" s="139">
        <v>2</v>
      </c>
      <c r="B62" s="139">
        <v>2025</v>
      </c>
      <c r="D62" s="262" t="s">
        <v>691</v>
      </c>
      <c r="E62" s="263"/>
      <c r="F62" s="263"/>
      <c r="G62" s="203">
        <f t="shared" si="0"/>
        <v>45711</v>
      </c>
      <c r="H62" s="264" t="s">
        <v>574</v>
      </c>
      <c r="I62" s="263"/>
      <c r="J62" s="265"/>
      <c r="K62" s="256"/>
      <c r="L62" s="146"/>
      <c r="M62" s="139" t="s">
        <v>11</v>
      </c>
      <c r="N62" s="139"/>
    </row>
    <row r="63" spans="1:14" outlineLevel="1">
      <c r="A63" s="139">
        <v>2</v>
      </c>
      <c r="B63" s="139">
        <v>2025</v>
      </c>
      <c r="C63" s="139">
        <v>50</v>
      </c>
      <c r="D63" s="189" t="str">
        <f>+I64</f>
        <v>Reino dividido - parte 2 (de Jeroboão a Baasa)</v>
      </c>
      <c r="E63" s="172" t="s">
        <v>577</v>
      </c>
      <c r="F63" s="165" t="s">
        <v>697</v>
      </c>
      <c r="G63" s="206">
        <v>45725</v>
      </c>
      <c r="H63" s="213">
        <f>C61</f>
        <v>49</v>
      </c>
      <c r="I63" s="146" t="str">
        <f>D61</f>
        <v>Reino dividido - parte 1</v>
      </c>
      <c r="J63" s="146" t="str">
        <f>E61</f>
        <v>1 Rs 11-12</v>
      </c>
      <c r="K63" s="146"/>
      <c r="L63" s="146"/>
      <c r="M63" s="139" t="s">
        <v>11</v>
      </c>
      <c r="N63" s="139"/>
    </row>
    <row r="64" spans="1:14" outlineLevel="1">
      <c r="A64" s="139">
        <v>2</v>
      </c>
      <c r="B64" s="139">
        <v>2025</v>
      </c>
      <c r="C64" s="139">
        <v>51</v>
      </c>
      <c r="D64" s="188" t="str">
        <f>I65</f>
        <v>Elias e a viúva</v>
      </c>
      <c r="E64" s="129" t="s">
        <v>197</v>
      </c>
      <c r="F64" s="166" t="s">
        <v>710</v>
      </c>
      <c r="G64" s="205">
        <f t="shared" si="0"/>
        <v>45732</v>
      </c>
      <c r="H64" s="213">
        <f>+C63</f>
        <v>50</v>
      </c>
      <c r="I64" s="146" t="s">
        <v>576</v>
      </c>
      <c r="J64" s="146" t="s">
        <v>577</v>
      </c>
      <c r="K64" s="146" t="s">
        <v>569</v>
      </c>
      <c r="L64" s="139" t="s">
        <v>578</v>
      </c>
      <c r="M64" s="139" t="s">
        <v>11</v>
      </c>
      <c r="N64" s="139"/>
    </row>
    <row r="65" spans="1:14" outlineLevel="1">
      <c r="A65" s="139">
        <v>2</v>
      </c>
      <c r="B65" s="139">
        <v>2025</v>
      </c>
      <c r="C65" s="139">
        <v>52</v>
      </c>
      <c r="D65" s="188" t="str">
        <f t="shared" ref="D65:D101" si="6">I66</f>
        <v>Elias no Monte Carmelo</v>
      </c>
      <c r="E65" s="129" t="s">
        <v>200</v>
      </c>
      <c r="F65" s="164" t="s">
        <v>694</v>
      </c>
      <c r="G65" s="205">
        <f t="shared" si="0"/>
        <v>45739</v>
      </c>
      <c r="H65" s="213">
        <f>+C64</f>
        <v>51</v>
      </c>
      <c r="I65" s="139" t="s">
        <v>196</v>
      </c>
      <c r="J65" s="139" t="s">
        <v>197</v>
      </c>
      <c r="K65" s="257" t="s">
        <v>195</v>
      </c>
      <c r="L65" s="139" t="s">
        <v>578</v>
      </c>
      <c r="M65" s="139" t="s">
        <v>11</v>
      </c>
      <c r="N65" s="139"/>
    </row>
    <row r="66" spans="1:14" outlineLevel="1">
      <c r="A66" s="139">
        <v>2</v>
      </c>
      <c r="B66" s="139">
        <v>2025</v>
      </c>
      <c r="C66" s="139">
        <v>53</v>
      </c>
      <c r="D66" s="188" t="str">
        <f t="shared" si="6"/>
        <v>Eliseu é sucessor de Elias</v>
      </c>
      <c r="E66" s="129" t="s">
        <v>203</v>
      </c>
      <c r="F66" s="165" t="s">
        <v>704</v>
      </c>
      <c r="G66" s="205">
        <f t="shared" si="0"/>
        <v>45746</v>
      </c>
      <c r="H66" s="213">
        <f t="shared" ref="H66:H102" si="7">+C65</f>
        <v>52</v>
      </c>
      <c r="I66" s="139" t="s">
        <v>199</v>
      </c>
      <c r="J66" s="139" t="s">
        <v>200</v>
      </c>
      <c r="K66" s="260"/>
      <c r="L66" s="139" t="s">
        <v>578</v>
      </c>
      <c r="M66" s="139" t="s">
        <v>11</v>
      </c>
      <c r="N66" s="139"/>
    </row>
    <row r="67" spans="1:14" s="169" customFormat="1" outlineLevel="1">
      <c r="A67" s="167">
        <v>2</v>
      </c>
      <c r="B67" s="167">
        <v>2025</v>
      </c>
      <c r="C67" s="167">
        <v>54</v>
      </c>
      <c r="D67" s="190" t="str">
        <f t="shared" si="6"/>
        <v>O ministério de Eliseu</v>
      </c>
      <c r="E67" s="199" t="s">
        <v>579</v>
      </c>
      <c r="F67" s="168" t="s">
        <v>700</v>
      </c>
      <c r="G67" s="207">
        <f t="shared" si="0"/>
        <v>45753</v>
      </c>
      <c r="H67" s="214">
        <f t="shared" si="7"/>
        <v>53</v>
      </c>
      <c r="I67" s="167" t="s">
        <v>202</v>
      </c>
      <c r="J67" s="167" t="s">
        <v>203</v>
      </c>
      <c r="K67" s="260"/>
      <c r="L67" s="167" t="s">
        <v>578</v>
      </c>
      <c r="M67" s="167" t="s">
        <v>11</v>
      </c>
      <c r="N67" s="167"/>
    </row>
    <row r="68" spans="1:14" outlineLevel="1">
      <c r="A68" s="139">
        <v>2</v>
      </c>
      <c r="B68" s="139">
        <v>2025</v>
      </c>
      <c r="C68" s="139">
        <v>55</v>
      </c>
      <c r="D68" s="188" t="str">
        <f t="shared" si="6"/>
        <v>Amós e Joel</v>
      </c>
      <c r="E68" s="129" t="s">
        <v>580</v>
      </c>
      <c r="F68" s="165" t="s">
        <v>697</v>
      </c>
      <c r="G68" s="205">
        <f t="shared" si="0"/>
        <v>45760</v>
      </c>
      <c r="H68" s="213">
        <f t="shared" si="7"/>
        <v>54</v>
      </c>
      <c r="I68" s="139" t="s">
        <v>205</v>
      </c>
      <c r="J68" s="139" t="s">
        <v>579</v>
      </c>
      <c r="K68" s="258"/>
      <c r="L68" s="139" t="s">
        <v>578</v>
      </c>
      <c r="M68" s="139" t="s">
        <v>11</v>
      </c>
      <c r="N68" s="139"/>
    </row>
    <row r="69" spans="1:14" ht="15" customHeight="1" outlineLevel="1">
      <c r="A69" s="139">
        <v>2</v>
      </c>
      <c r="B69" s="139">
        <v>2025</v>
      </c>
      <c r="C69" s="139">
        <v>56</v>
      </c>
      <c r="D69" s="188" t="str">
        <f t="shared" si="6"/>
        <v>Jonas</v>
      </c>
      <c r="E69" s="129" t="s">
        <v>210</v>
      </c>
      <c r="F69" s="164" t="s">
        <v>694</v>
      </c>
      <c r="G69" s="205">
        <f t="shared" ref="G69:G132" si="8">+G68+7</f>
        <v>45767</v>
      </c>
      <c r="H69" s="213">
        <f t="shared" si="7"/>
        <v>55</v>
      </c>
      <c r="I69" s="139" t="s">
        <v>711</v>
      </c>
      <c r="J69" s="139" t="s">
        <v>580</v>
      </c>
      <c r="K69" s="261" t="s">
        <v>581</v>
      </c>
      <c r="L69" s="170" t="s">
        <v>249</v>
      </c>
      <c r="M69" s="139" t="s">
        <v>11</v>
      </c>
      <c r="N69" s="139"/>
    </row>
    <row r="70" spans="1:14" outlineLevel="1">
      <c r="A70" s="139">
        <v>2</v>
      </c>
      <c r="B70" s="139">
        <v>2025</v>
      </c>
      <c r="C70" s="139">
        <v>57</v>
      </c>
      <c r="D70" s="183" t="str">
        <f t="shared" si="6"/>
        <v>Oseias</v>
      </c>
      <c r="E70" s="196" t="s">
        <v>582</v>
      </c>
      <c r="F70" s="152" t="s">
        <v>704</v>
      </c>
      <c r="G70" s="203">
        <f t="shared" si="8"/>
        <v>45774</v>
      </c>
      <c r="H70" s="250">
        <f t="shared" si="7"/>
        <v>56</v>
      </c>
      <c r="I70" s="151" t="s">
        <v>210</v>
      </c>
      <c r="J70" s="151" t="s">
        <v>210</v>
      </c>
      <c r="K70" s="261"/>
      <c r="L70" s="163" t="s">
        <v>578</v>
      </c>
      <c r="M70" s="139" t="s">
        <v>11</v>
      </c>
      <c r="N70" s="139"/>
    </row>
    <row r="71" spans="1:14" outlineLevel="1">
      <c r="A71" s="139">
        <v>2</v>
      </c>
      <c r="B71" s="139">
        <v>2025</v>
      </c>
      <c r="C71" s="139">
        <v>58</v>
      </c>
      <c r="D71" s="188" t="str">
        <f>I72</f>
        <v>Miqueias</v>
      </c>
      <c r="E71" s="129" t="s">
        <v>583</v>
      </c>
      <c r="F71" s="165" t="s">
        <v>700</v>
      </c>
      <c r="G71" s="205">
        <f t="shared" si="8"/>
        <v>45781</v>
      </c>
      <c r="H71" s="213">
        <f t="shared" si="7"/>
        <v>57</v>
      </c>
      <c r="I71" s="139" t="s">
        <v>582</v>
      </c>
      <c r="J71" s="139" t="s">
        <v>582</v>
      </c>
      <c r="K71" s="261"/>
      <c r="L71" s="163"/>
      <c r="M71" s="139" t="s">
        <v>11</v>
      </c>
      <c r="N71" s="139"/>
    </row>
    <row r="72" spans="1:14" outlineLevel="1">
      <c r="A72" s="139">
        <v>2</v>
      </c>
      <c r="B72" s="139">
        <v>2025</v>
      </c>
      <c r="C72" s="139">
        <v>59</v>
      </c>
      <c r="D72" s="188" t="str">
        <f t="shared" si="6"/>
        <v>O chamado de Isaias</v>
      </c>
      <c r="E72" s="129" t="s">
        <v>585</v>
      </c>
      <c r="F72" s="165" t="s">
        <v>710</v>
      </c>
      <c r="G72" s="205">
        <f t="shared" si="8"/>
        <v>45788</v>
      </c>
      <c r="H72" s="213">
        <f t="shared" si="7"/>
        <v>58</v>
      </c>
      <c r="I72" s="139" t="s">
        <v>583</v>
      </c>
      <c r="J72" s="139" t="s">
        <v>583</v>
      </c>
      <c r="K72" s="261"/>
      <c r="L72" s="163" t="s">
        <v>578</v>
      </c>
      <c r="M72" s="139" t="s">
        <v>11</v>
      </c>
      <c r="N72" s="139"/>
    </row>
    <row r="73" spans="1:14" outlineLevel="1">
      <c r="A73" s="139">
        <v>2</v>
      </c>
      <c r="B73" s="139">
        <v>2025</v>
      </c>
      <c r="C73" s="139">
        <v>60</v>
      </c>
      <c r="D73" s="188" t="str">
        <f t="shared" si="6"/>
        <v>A mensagem de Isaias</v>
      </c>
      <c r="E73" s="129" t="s">
        <v>585</v>
      </c>
      <c r="F73" s="165" t="s">
        <v>704</v>
      </c>
      <c r="G73" s="205">
        <f t="shared" si="8"/>
        <v>45795</v>
      </c>
      <c r="H73" s="213">
        <f t="shared" si="7"/>
        <v>59</v>
      </c>
      <c r="I73" s="139" t="s">
        <v>584</v>
      </c>
      <c r="J73" s="139" t="s">
        <v>585</v>
      </c>
      <c r="K73" s="261"/>
      <c r="M73" s="139" t="s">
        <v>11</v>
      </c>
      <c r="N73" s="139"/>
    </row>
    <row r="74" spans="1:14" outlineLevel="1">
      <c r="A74" s="139">
        <v>2</v>
      </c>
      <c r="B74" s="139">
        <v>2025</v>
      </c>
      <c r="C74" s="139">
        <v>61</v>
      </c>
      <c r="D74" s="188" t="str">
        <f t="shared" si="6"/>
        <v>Jeroboão II</v>
      </c>
      <c r="E74" s="129" t="s">
        <v>588</v>
      </c>
      <c r="F74" s="164" t="s">
        <v>694</v>
      </c>
      <c r="G74" s="205">
        <f t="shared" si="8"/>
        <v>45802</v>
      </c>
      <c r="H74" s="213">
        <f t="shared" si="7"/>
        <v>60</v>
      </c>
      <c r="I74" s="139" t="s">
        <v>586</v>
      </c>
      <c r="J74" s="139" t="s">
        <v>585</v>
      </c>
      <c r="K74" s="261"/>
      <c r="L74" s="163"/>
      <c r="M74" s="139" t="s">
        <v>11</v>
      </c>
      <c r="N74" s="139"/>
    </row>
    <row r="75" spans="1:14" outlineLevel="1">
      <c r="A75" s="151">
        <v>2</v>
      </c>
      <c r="B75" s="151">
        <v>2025</v>
      </c>
      <c r="C75" s="151">
        <v>62</v>
      </c>
      <c r="D75" s="183" t="str">
        <f>I76</f>
        <v>De Roboão a Acaz</v>
      </c>
      <c r="E75" s="196" t="s">
        <v>591</v>
      </c>
      <c r="F75" s="171" t="s">
        <v>697</v>
      </c>
      <c r="G75" s="203">
        <f t="shared" si="8"/>
        <v>45809</v>
      </c>
      <c r="H75" s="213">
        <f t="shared" si="7"/>
        <v>61</v>
      </c>
      <c r="I75" s="139" t="s">
        <v>587</v>
      </c>
      <c r="J75" s="139" t="s">
        <v>588</v>
      </c>
      <c r="K75" s="266" t="s">
        <v>589</v>
      </c>
      <c r="L75" s="139"/>
      <c r="M75" s="139" t="s">
        <v>11</v>
      </c>
      <c r="N75" s="139"/>
    </row>
    <row r="76" spans="1:14" outlineLevel="1">
      <c r="A76" s="139">
        <v>2</v>
      </c>
      <c r="B76" s="139">
        <v>2025</v>
      </c>
      <c r="C76" s="139"/>
      <c r="D76" s="188" t="str">
        <f t="shared" si="6"/>
        <v>Ezequias</v>
      </c>
      <c r="E76" s="189" t="s">
        <v>594</v>
      </c>
      <c r="F76" s="162"/>
      <c r="G76" s="205">
        <f>+G75+0</f>
        <v>45809</v>
      </c>
      <c r="H76" s="213">
        <f>+C75</f>
        <v>62</v>
      </c>
      <c r="I76" s="146" t="s">
        <v>590</v>
      </c>
      <c r="J76" s="139" t="s">
        <v>591</v>
      </c>
      <c r="K76" s="267"/>
      <c r="L76" s="139" t="s">
        <v>592</v>
      </c>
      <c r="M76" s="139" t="s">
        <v>11</v>
      </c>
      <c r="N76" s="139"/>
    </row>
    <row r="77" spans="1:14" outlineLevel="1">
      <c r="A77" s="139">
        <v>2</v>
      </c>
      <c r="B77" s="139">
        <v>2025</v>
      </c>
      <c r="C77" s="139">
        <v>63</v>
      </c>
      <c r="D77" s="188" t="str">
        <f t="shared" si="6"/>
        <v>Ezequias e Josias - Reforma do templo</v>
      </c>
      <c r="E77" s="172" t="s">
        <v>226</v>
      </c>
      <c r="F77" s="164" t="s">
        <v>700</v>
      </c>
      <c r="G77" s="205">
        <f t="shared" si="8"/>
        <v>45816</v>
      </c>
      <c r="H77" s="213">
        <f t="shared" si="7"/>
        <v>0</v>
      </c>
      <c r="I77" s="146" t="s">
        <v>593</v>
      </c>
      <c r="J77" s="146" t="s">
        <v>594</v>
      </c>
      <c r="K77" s="267"/>
      <c r="L77" s="139" t="s">
        <v>592</v>
      </c>
      <c r="M77" s="139" t="s">
        <v>11</v>
      </c>
      <c r="N77" s="139"/>
    </row>
    <row r="78" spans="1:14" outlineLevel="1">
      <c r="A78" s="139">
        <v>2</v>
      </c>
      <c r="B78" s="139">
        <v>2025</v>
      </c>
      <c r="C78" s="139">
        <f>C77+1</f>
        <v>64</v>
      </c>
      <c r="D78" s="188" t="str">
        <f t="shared" si="6"/>
        <v>O cativeiro Assírio</v>
      </c>
      <c r="E78" s="129" t="s">
        <v>213</v>
      </c>
      <c r="F78" s="165" t="s">
        <v>704</v>
      </c>
      <c r="G78" s="205">
        <f t="shared" si="8"/>
        <v>45823</v>
      </c>
      <c r="H78" s="213">
        <f t="shared" si="7"/>
        <v>63</v>
      </c>
      <c r="I78" s="172" t="s">
        <v>712</v>
      </c>
      <c r="J78" s="146" t="s">
        <v>226</v>
      </c>
      <c r="K78" s="267"/>
      <c r="L78" s="139" t="s">
        <v>592</v>
      </c>
      <c r="M78" s="139" t="s">
        <v>11</v>
      </c>
      <c r="N78" s="139"/>
    </row>
    <row r="79" spans="1:14" outlineLevel="1">
      <c r="A79" s="139">
        <v>2</v>
      </c>
      <c r="B79" s="139">
        <v>2025</v>
      </c>
      <c r="C79" s="139">
        <f t="shared" ref="C79:C102" si="9">C78+1</f>
        <v>65</v>
      </c>
      <c r="D79" s="188" t="str">
        <f t="shared" si="6"/>
        <v>Naum</v>
      </c>
      <c r="E79" s="172" t="s">
        <v>597</v>
      </c>
      <c r="F79" s="165" t="s">
        <v>710</v>
      </c>
      <c r="G79" s="205">
        <f t="shared" si="8"/>
        <v>45830</v>
      </c>
      <c r="H79" s="213">
        <f t="shared" si="7"/>
        <v>64</v>
      </c>
      <c r="I79" s="139" t="s">
        <v>596</v>
      </c>
      <c r="J79" s="139" t="s">
        <v>213</v>
      </c>
      <c r="K79" s="267"/>
      <c r="L79" s="139" t="s">
        <v>212</v>
      </c>
      <c r="M79" s="139" t="s">
        <v>11</v>
      </c>
      <c r="N79" s="139"/>
    </row>
    <row r="80" spans="1:14" outlineLevel="1">
      <c r="A80" s="139">
        <v>2</v>
      </c>
      <c r="B80" s="139">
        <v>2025</v>
      </c>
      <c r="C80" s="139">
        <f t="shared" si="9"/>
        <v>66</v>
      </c>
      <c r="D80" s="188" t="str">
        <f t="shared" si="6"/>
        <v>Sofonias</v>
      </c>
      <c r="E80" s="172" t="s">
        <v>598</v>
      </c>
      <c r="F80" s="164" t="s">
        <v>694</v>
      </c>
      <c r="G80" s="205">
        <f t="shared" si="8"/>
        <v>45837</v>
      </c>
      <c r="H80" s="213">
        <f t="shared" si="7"/>
        <v>65</v>
      </c>
      <c r="I80" s="146" t="s">
        <v>597</v>
      </c>
      <c r="J80" s="146" t="s">
        <v>597</v>
      </c>
      <c r="K80" s="267"/>
      <c r="M80" s="139" t="s">
        <v>11</v>
      </c>
      <c r="N80" s="139"/>
    </row>
    <row r="81" spans="1:14" outlineLevel="1">
      <c r="A81" s="139">
        <v>2</v>
      </c>
      <c r="B81" s="139">
        <v>2025</v>
      </c>
      <c r="C81" s="139">
        <f t="shared" si="9"/>
        <v>67</v>
      </c>
      <c r="D81" s="188" t="str">
        <f t="shared" si="6"/>
        <v xml:space="preserve"> Jeremias, Profeta de Judá</v>
      </c>
      <c r="E81" s="172" t="s">
        <v>231</v>
      </c>
      <c r="F81" s="165" t="s">
        <v>700</v>
      </c>
      <c r="G81" s="205">
        <f t="shared" si="8"/>
        <v>45844</v>
      </c>
      <c r="H81" s="213">
        <f t="shared" si="7"/>
        <v>66</v>
      </c>
      <c r="I81" s="146" t="s">
        <v>598</v>
      </c>
      <c r="J81" s="146" t="s">
        <v>598</v>
      </c>
      <c r="K81" s="267"/>
      <c r="L81" s="139"/>
      <c r="M81" s="139" t="s">
        <v>11</v>
      </c>
      <c r="N81" s="139"/>
    </row>
    <row r="82" spans="1:14" outlineLevel="1">
      <c r="A82" s="139">
        <v>2</v>
      </c>
      <c r="B82" s="139">
        <v>2025</v>
      </c>
      <c r="C82" s="139">
        <f t="shared" si="9"/>
        <v>68</v>
      </c>
      <c r="D82" s="188" t="str">
        <f t="shared" si="6"/>
        <v xml:space="preserve"> Jeremias, Profeta de Judá</v>
      </c>
      <c r="E82" s="172" t="s">
        <v>231</v>
      </c>
      <c r="F82" s="165" t="s">
        <v>697</v>
      </c>
      <c r="G82" s="205">
        <f t="shared" si="8"/>
        <v>45851</v>
      </c>
      <c r="H82" s="213">
        <f t="shared" si="7"/>
        <v>67</v>
      </c>
      <c r="I82" s="146" t="s">
        <v>599</v>
      </c>
      <c r="J82" s="146" t="s">
        <v>231</v>
      </c>
      <c r="K82" s="267"/>
      <c r="L82" s="146" t="s">
        <v>230</v>
      </c>
      <c r="M82" s="139" t="s">
        <v>11</v>
      </c>
      <c r="N82" s="139"/>
    </row>
    <row r="83" spans="1:14" outlineLevel="1">
      <c r="A83" s="139">
        <v>2</v>
      </c>
      <c r="B83" s="139">
        <v>2025</v>
      </c>
      <c r="C83" s="139">
        <f t="shared" si="9"/>
        <v>69</v>
      </c>
      <c r="D83" s="188" t="str">
        <f t="shared" si="6"/>
        <v>Habacuque</v>
      </c>
      <c r="E83" s="129" t="s">
        <v>600</v>
      </c>
      <c r="F83" s="165" t="s">
        <v>704</v>
      </c>
      <c r="G83" s="205">
        <f t="shared" si="8"/>
        <v>45858</v>
      </c>
      <c r="H83" s="213">
        <f t="shared" si="7"/>
        <v>68</v>
      </c>
      <c r="I83" s="146" t="s">
        <v>599</v>
      </c>
      <c r="J83" s="146" t="s">
        <v>231</v>
      </c>
      <c r="K83" s="267"/>
      <c r="L83" s="146" t="s">
        <v>230</v>
      </c>
      <c r="M83" s="139" t="s">
        <v>11</v>
      </c>
      <c r="N83" s="139"/>
    </row>
    <row r="84" spans="1:14" outlineLevel="1">
      <c r="A84" s="139">
        <v>2</v>
      </c>
      <c r="B84" s="139">
        <v>2025</v>
      </c>
      <c r="C84" s="139">
        <f t="shared" si="9"/>
        <v>70</v>
      </c>
      <c r="D84" s="188" t="str">
        <f t="shared" si="6"/>
        <v>Judá é feito cativo</v>
      </c>
      <c r="E84" s="172" t="s">
        <v>234</v>
      </c>
      <c r="F84" s="165" t="s">
        <v>710</v>
      </c>
      <c r="G84" s="205">
        <f t="shared" si="8"/>
        <v>45865</v>
      </c>
      <c r="H84" s="213">
        <f t="shared" si="7"/>
        <v>69</v>
      </c>
      <c r="I84" s="139" t="s">
        <v>600</v>
      </c>
      <c r="J84" s="139" t="s">
        <v>600</v>
      </c>
      <c r="K84" s="267"/>
      <c r="L84" s="139"/>
      <c r="M84" s="139" t="s">
        <v>11</v>
      </c>
      <c r="N84" s="139"/>
    </row>
    <row r="85" spans="1:14" outlineLevel="1">
      <c r="A85" s="139">
        <v>2</v>
      </c>
      <c r="B85" s="139">
        <v>2025</v>
      </c>
      <c r="C85" s="139">
        <f t="shared" si="9"/>
        <v>71</v>
      </c>
      <c r="D85" s="188" t="str">
        <f t="shared" si="6"/>
        <v>Ezequiel</v>
      </c>
      <c r="E85" s="129" t="s">
        <v>602</v>
      </c>
      <c r="F85" s="164" t="s">
        <v>694</v>
      </c>
      <c r="G85" s="205">
        <f t="shared" si="8"/>
        <v>45872</v>
      </c>
      <c r="H85" s="213">
        <f t="shared" si="7"/>
        <v>70</v>
      </c>
      <c r="I85" s="146" t="s">
        <v>601</v>
      </c>
      <c r="J85" s="146" t="s">
        <v>234</v>
      </c>
      <c r="K85" s="267"/>
      <c r="L85" s="139"/>
      <c r="M85" s="139" t="s">
        <v>11</v>
      </c>
      <c r="N85" s="139"/>
    </row>
    <row r="86" spans="1:14" outlineLevel="1">
      <c r="A86" s="139">
        <v>2</v>
      </c>
      <c r="B86" s="139">
        <v>2025</v>
      </c>
      <c r="C86" s="139">
        <f t="shared" si="9"/>
        <v>72</v>
      </c>
      <c r="D86" s="188" t="str">
        <f t="shared" si="6"/>
        <v>A visão dos ossos secos</v>
      </c>
      <c r="E86" s="172" t="s">
        <v>237</v>
      </c>
      <c r="F86" s="165" t="s">
        <v>697</v>
      </c>
      <c r="G86" s="205">
        <f t="shared" si="8"/>
        <v>45879</v>
      </c>
      <c r="H86" s="213">
        <f t="shared" si="7"/>
        <v>71</v>
      </c>
      <c r="I86" s="139" t="s">
        <v>602</v>
      </c>
      <c r="J86" s="139" t="s">
        <v>602</v>
      </c>
      <c r="K86" s="267"/>
      <c r="L86" s="146" t="s">
        <v>233</v>
      </c>
      <c r="M86" s="139" t="s">
        <v>11</v>
      </c>
      <c r="N86" s="139"/>
    </row>
    <row r="87" spans="1:14" outlineLevel="1">
      <c r="A87" s="139">
        <v>2</v>
      </c>
      <c r="B87" s="139">
        <v>2025</v>
      </c>
      <c r="C87" s="139">
        <f t="shared" si="9"/>
        <v>73</v>
      </c>
      <c r="D87" s="188" t="str">
        <f t="shared" si="6"/>
        <v>Obadias</v>
      </c>
      <c r="E87" s="200" t="s">
        <v>250</v>
      </c>
      <c r="F87" s="165" t="s">
        <v>700</v>
      </c>
      <c r="G87" s="205">
        <f t="shared" si="8"/>
        <v>45886</v>
      </c>
      <c r="H87" s="213">
        <f t="shared" si="7"/>
        <v>72</v>
      </c>
      <c r="I87" s="146" t="s">
        <v>236</v>
      </c>
      <c r="J87" s="146" t="s">
        <v>237</v>
      </c>
      <c r="K87" s="268"/>
      <c r="L87" s="139"/>
      <c r="M87" s="139" t="s">
        <v>11</v>
      </c>
      <c r="N87" s="139"/>
    </row>
    <row r="88" spans="1:14" outlineLevel="1">
      <c r="A88" s="139">
        <v>2</v>
      </c>
      <c r="B88" s="139">
        <v>2025</v>
      </c>
      <c r="C88" s="139">
        <f t="shared" si="9"/>
        <v>74</v>
      </c>
      <c r="D88" s="188" t="str">
        <f t="shared" si="6"/>
        <v>A fornalha ardente</v>
      </c>
      <c r="E88" s="172" t="s">
        <v>605</v>
      </c>
      <c r="F88" s="165" t="s">
        <v>704</v>
      </c>
      <c r="G88" s="205">
        <f t="shared" si="8"/>
        <v>45893</v>
      </c>
      <c r="H88" s="213">
        <f t="shared" si="7"/>
        <v>73</v>
      </c>
      <c r="I88" s="173" t="s">
        <v>250</v>
      </c>
      <c r="J88" s="173" t="s">
        <v>250</v>
      </c>
      <c r="K88" s="257" t="s">
        <v>603</v>
      </c>
      <c r="L88" s="146"/>
      <c r="M88" s="139" t="s">
        <v>11</v>
      </c>
      <c r="N88" s="139"/>
    </row>
    <row r="89" spans="1:14" outlineLevel="1">
      <c r="A89" s="139">
        <v>2</v>
      </c>
      <c r="B89" s="139">
        <v>2025</v>
      </c>
      <c r="C89" s="139">
        <f t="shared" si="9"/>
        <v>75</v>
      </c>
      <c r="D89" s="188" t="str">
        <f t="shared" si="6"/>
        <v>O sonho de Nabucodonosor</v>
      </c>
      <c r="E89" s="172" t="s">
        <v>607</v>
      </c>
      <c r="F89" s="165" t="s">
        <v>710</v>
      </c>
      <c r="G89" s="205">
        <f t="shared" si="8"/>
        <v>45900</v>
      </c>
      <c r="H89" s="213">
        <f t="shared" si="7"/>
        <v>74</v>
      </c>
      <c r="I89" s="146" t="s">
        <v>604</v>
      </c>
      <c r="J89" s="146" t="s">
        <v>605</v>
      </c>
      <c r="K89" s="260"/>
      <c r="L89" s="146" t="s">
        <v>240</v>
      </c>
      <c r="M89" s="139" t="s">
        <v>11</v>
      </c>
      <c r="N89" s="139"/>
    </row>
    <row r="90" spans="1:14" outlineLevel="1">
      <c r="A90" s="139">
        <v>2</v>
      </c>
      <c r="B90" s="139">
        <v>2025</v>
      </c>
      <c r="C90" s="139">
        <f t="shared" si="9"/>
        <v>76</v>
      </c>
      <c r="D90" s="188" t="str">
        <f t="shared" si="6"/>
        <v>Daniel na cova dos leões</v>
      </c>
      <c r="E90" s="172" t="s">
        <v>610</v>
      </c>
      <c r="F90" s="164" t="s">
        <v>694</v>
      </c>
      <c r="G90" s="203">
        <f>+G89+14</f>
        <v>45914</v>
      </c>
      <c r="H90" s="213">
        <f t="shared" si="7"/>
        <v>75</v>
      </c>
      <c r="I90" s="172" t="s">
        <v>606</v>
      </c>
      <c r="J90" s="146" t="s">
        <v>607</v>
      </c>
      <c r="K90" s="260"/>
      <c r="L90" s="146" t="s">
        <v>608</v>
      </c>
      <c r="M90" s="139" t="s">
        <v>11</v>
      </c>
      <c r="N90" s="139"/>
    </row>
    <row r="91" spans="1:14" outlineLevel="1">
      <c r="A91" s="139">
        <v>2</v>
      </c>
      <c r="B91" s="139">
        <v>2025</v>
      </c>
      <c r="C91" s="139">
        <f t="shared" si="9"/>
        <v>77</v>
      </c>
      <c r="D91" s="189" t="str">
        <f>I92</f>
        <v>A visão de Daniel</v>
      </c>
      <c r="E91" s="172" t="s">
        <v>247</v>
      </c>
      <c r="F91" s="165" t="s">
        <v>697</v>
      </c>
      <c r="G91" s="205">
        <f>+G90+7</f>
        <v>45921</v>
      </c>
      <c r="H91" s="213">
        <f t="shared" si="7"/>
        <v>76</v>
      </c>
      <c r="I91" s="146" t="s">
        <v>609</v>
      </c>
      <c r="J91" s="146" t="s">
        <v>610</v>
      </c>
      <c r="K91" s="260"/>
      <c r="L91" s="146" t="s">
        <v>611</v>
      </c>
      <c r="M91" s="139" t="s">
        <v>11</v>
      </c>
      <c r="N91" s="139"/>
    </row>
    <row r="92" spans="1:14" outlineLevel="1">
      <c r="A92" s="139">
        <v>2</v>
      </c>
      <c r="B92" s="139">
        <v>2025</v>
      </c>
      <c r="C92" s="139">
        <f t="shared" si="9"/>
        <v>78</v>
      </c>
      <c r="D92" s="188" t="str">
        <f t="shared" si="6"/>
        <v>O Retorno dos Exilados</v>
      </c>
      <c r="E92" s="172" t="s">
        <v>253</v>
      </c>
      <c r="F92" s="165" t="s">
        <v>700</v>
      </c>
      <c r="G92" s="205">
        <f>+G91+7</f>
        <v>45928</v>
      </c>
      <c r="H92" s="213">
        <f t="shared" si="7"/>
        <v>77</v>
      </c>
      <c r="I92" s="146" t="s">
        <v>612</v>
      </c>
      <c r="J92" s="146" t="s">
        <v>247</v>
      </c>
      <c r="K92" s="258"/>
      <c r="L92" s="146"/>
      <c r="M92" s="139" t="s">
        <v>11</v>
      </c>
      <c r="N92" s="139"/>
    </row>
    <row r="93" spans="1:14" outlineLevel="1">
      <c r="A93" s="139">
        <v>2</v>
      </c>
      <c r="B93" s="139">
        <v>2025</v>
      </c>
      <c r="C93" s="139">
        <f t="shared" si="9"/>
        <v>79</v>
      </c>
      <c r="D93" s="188" t="str">
        <f t="shared" si="6"/>
        <v>A reconstrução do templo</v>
      </c>
      <c r="E93" s="172" t="s">
        <v>257</v>
      </c>
      <c r="F93" s="165" t="s">
        <v>704</v>
      </c>
      <c r="G93" s="205">
        <f>+G92+7</f>
        <v>45935</v>
      </c>
      <c r="H93" s="213">
        <f t="shared" si="7"/>
        <v>78</v>
      </c>
      <c r="I93" s="146" t="s">
        <v>613</v>
      </c>
      <c r="J93" s="146" t="s">
        <v>253</v>
      </c>
      <c r="K93" s="257" t="s">
        <v>614</v>
      </c>
      <c r="L93" s="146"/>
      <c r="M93" s="139" t="s">
        <v>11</v>
      </c>
      <c r="N93" s="139"/>
    </row>
    <row r="94" spans="1:14" outlineLevel="1">
      <c r="A94" s="139">
        <v>2</v>
      </c>
      <c r="B94" s="139">
        <v>2025</v>
      </c>
      <c r="C94" s="139">
        <f t="shared" si="9"/>
        <v>80</v>
      </c>
      <c r="D94" s="188" t="str">
        <f t="shared" si="6"/>
        <v>A promessa de um rei que vem – Zacarias, o profeta</v>
      </c>
      <c r="E94" s="172" t="s">
        <v>260</v>
      </c>
      <c r="F94" s="165" t="s">
        <v>710</v>
      </c>
      <c r="G94" s="205">
        <f>+G93+7</f>
        <v>45942</v>
      </c>
      <c r="H94" s="213">
        <f t="shared" si="7"/>
        <v>79</v>
      </c>
      <c r="I94" s="146" t="s">
        <v>615</v>
      </c>
      <c r="J94" s="146" t="s">
        <v>257</v>
      </c>
      <c r="K94" s="260"/>
      <c r="L94" s="146"/>
      <c r="M94" s="139" t="s">
        <v>11</v>
      </c>
      <c r="N94" s="139"/>
    </row>
    <row r="95" spans="1:14" outlineLevel="1">
      <c r="A95" s="139">
        <v>2</v>
      </c>
      <c r="B95" s="139">
        <v>2025</v>
      </c>
      <c r="C95" s="139">
        <f t="shared" si="9"/>
        <v>81</v>
      </c>
      <c r="D95" s="188" t="str">
        <f t="shared" si="6"/>
        <v>Celebrando o livramento do Senhor</v>
      </c>
      <c r="E95" s="172" t="s">
        <v>713</v>
      </c>
      <c r="F95" s="164" t="s">
        <v>700</v>
      </c>
      <c r="G95" s="205">
        <f>+G94+14</f>
        <v>45956</v>
      </c>
      <c r="H95" s="213">
        <f t="shared" si="7"/>
        <v>80</v>
      </c>
      <c r="I95" s="146" t="s">
        <v>259</v>
      </c>
      <c r="J95" s="146" t="s">
        <v>260</v>
      </c>
      <c r="K95" s="258"/>
      <c r="L95" s="146"/>
      <c r="M95" s="139" t="s">
        <v>11</v>
      </c>
      <c r="N95" s="139"/>
    </row>
    <row r="96" spans="1:14" outlineLevel="1">
      <c r="A96" s="139">
        <v>2</v>
      </c>
      <c r="B96" s="139">
        <v>2025</v>
      </c>
      <c r="C96" s="139">
        <f t="shared" si="9"/>
        <v>82</v>
      </c>
      <c r="D96" s="188" t="str">
        <f t="shared" si="6"/>
        <v>Celebrando o livramento do Senhor</v>
      </c>
      <c r="E96" s="172" t="s">
        <v>714</v>
      </c>
      <c r="F96" s="165" t="s">
        <v>694</v>
      </c>
      <c r="G96" s="205">
        <f t="shared" ref="G96:G104" si="10">+G95+7</f>
        <v>45963</v>
      </c>
      <c r="H96" s="213">
        <f t="shared" si="7"/>
        <v>81</v>
      </c>
      <c r="I96" s="146" t="s">
        <v>262</v>
      </c>
      <c r="J96" s="146" t="s">
        <v>616</v>
      </c>
      <c r="K96" s="257" t="s">
        <v>617</v>
      </c>
      <c r="L96" s="146"/>
      <c r="M96" s="139" t="s">
        <v>11</v>
      </c>
      <c r="N96" s="139"/>
    </row>
    <row r="97" spans="1:14" outlineLevel="1">
      <c r="A97" s="139">
        <v>2</v>
      </c>
      <c r="B97" s="139">
        <v>2025</v>
      </c>
      <c r="C97" s="139">
        <f t="shared" si="9"/>
        <v>83</v>
      </c>
      <c r="D97" s="188" t="str">
        <f t="shared" si="6"/>
        <v>Jó</v>
      </c>
      <c r="E97" s="129" t="s">
        <v>618</v>
      </c>
      <c r="F97" s="165" t="s">
        <v>694</v>
      </c>
      <c r="G97" s="205">
        <f t="shared" si="10"/>
        <v>45970</v>
      </c>
      <c r="H97" s="213">
        <f t="shared" si="7"/>
        <v>82</v>
      </c>
      <c r="I97" s="146" t="s">
        <v>262</v>
      </c>
      <c r="J97" s="146" t="s">
        <v>616</v>
      </c>
      <c r="K97" s="260"/>
      <c r="L97" s="146"/>
      <c r="M97" s="139" t="s">
        <v>11</v>
      </c>
      <c r="N97" s="139"/>
    </row>
    <row r="98" spans="1:14" outlineLevel="1">
      <c r="A98" s="139">
        <v>2</v>
      </c>
      <c r="B98" s="139">
        <v>2025</v>
      </c>
      <c r="C98" s="139">
        <f t="shared" si="9"/>
        <v>84</v>
      </c>
      <c r="D98" s="188" t="str">
        <f t="shared" si="6"/>
        <v>Jó</v>
      </c>
      <c r="E98" s="129" t="s">
        <v>618</v>
      </c>
      <c r="F98" s="165" t="s">
        <v>704</v>
      </c>
      <c r="G98" s="205">
        <f t="shared" si="10"/>
        <v>45977</v>
      </c>
      <c r="H98" s="250">
        <f t="shared" si="7"/>
        <v>83</v>
      </c>
      <c r="I98" s="151" t="s">
        <v>618</v>
      </c>
      <c r="J98" s="151" t="s">
        <v>618</v>
      </c>
      <c r="K98" s="260"/>
      <c r="L98" s="146"/>
      <c r="M98" s="139" t="s">
        <v>11</v>
      </c>
      <c r="N98" s="139"/>
    </row>
    <row r="99" spans="1:14" ht="29.1" outlineLevel="1">
      <c r="A99" s="139">
        <v>2</v>
      </c>
      <c r="B99" s="139">
        <v>2025</v>
      </c>
      <c r="C99" s="139">
        <f t="shared" si="9"/>
        <v>85</v>
      </c>
      <c r="D99" s="188" t="str">
        <f t="shared" si="6"/>
        <v>Deus protege seu povo através de um copeiro – As muralhas reconstruídas</v>
      </c>
      <c r="E99" s="172" t="s">
        <v>268</v>
      </c>
      <c r="F99" s="165" t="s">
        <v>710</v>
      </c>
      <c r="G99" s="205">
        <f t="shared" si="10"/>
        <v>45984</v>
      </c>
      <c r="H99" s="250">
        <f t="shared" si="7"/>
        <v>84</v>
      </c>
      <c r="I99" s="151" t="s">
        <v>618</v>
      </c>
      <c r="J99" s="151" t="s">
        <v>618</v>
      </c>
      <c r="K99" s="260"/>
      <c r="L99" s="146"/>
      <c r="M99" s="139" t="s">
        <v>11</v>
      </c>
      <c r="N99" s="139"/>
    </row>
    <row r="100" spans="1:14" ht="29.1" outlineLevel="1">
      <c r="A100" s="139">
        <v>2</v>
      </c>
      <c r="B100" s="139">
        <v>2025</v>
      </c>
      <c r="C100" s="139">
        <f t="shared" si="9"/>
        <v>86</v>
      </c>
      <c r="D100" s="188" t="str">
        <f t="shared" si="6"/>
        <v>Deus revive seu povo através de um escriba – O povo de Deus se arrepende</v>
      </c>
      <c r="E100" s="172" t="s">
        <v>271</v>
      </c>
      <c r="F100" s="164" t="s">
        <v>694</v>
      </c>
      <c r="G100" s="205">
        <f t="shared" si="10"/>
        <v>45991</v>
      </c>
      <c r="H100" s="213">
        <f t="shared" si="7"/>
        <v>85</v>
      </c>
      <c r="I100" s="146" t="s">
        <v>267</v>
      </c>
      <c r="J100" s="146" t="s">
        <v>268</v>
      </c>
      <c r="K100" s="260"/>
      <c r="L100" s="146"/>
      <c r="M100" s="139" t="s">
        <v>11</v>
      </c>
      <c r="N100" s="139"/>
    </row>
    <row r="101" spans="1:14" outlineLevel="1">
      <c r="A101" s="139">
        <v>2</v>
      </c>
      <c r="B101" s="139">
        <v>2025</v>
      </c>
      <c r="C101" s="139">
        <f t="shared" si="9"/>
        <v>87</v>
      </c>
      <c r="D101" s="188" t="str">
        <f t="shared" si="6"/>
        <v>Deus adverte seu povo através de um profeta</v>
      </c>
      <c r="E101" s="172" t="str">
        <f>J102</f>
        <v>Malaquias</v>
      </c>
      <c r="F101" s="165" t="s">
        <v>697</v>
      </c>
      <c r="G101" s="205">
        <f t="shared" si="10"/>
        <v>45998</v>
      </c>
      <c r="H101" s="213">
        <f t="shared" si="7"/>
        <v>86</v>
      </c>
      <c r="I101" s="146" t="s">
        <v>270</v>
      </c>
      <c r="J101" s="146" t="s">
        <v>271</v>
      </c>
      <c r="K101" s="260"/>
      <c r="L101" s="146"/>
      <c r="M101" s="139" t="s">
        <v>11</v>
      </c>
      <c r="N101" s="139"/>
    </row>
    <row r="102" spans="1:14" outlineLevel="1">
      <c r="A102" s="139">
        <v>2</v>
      </c>
      <c r="B102" s="139">
        <v>2025</v>
      </c>
      <c r="C102" s="139">
        <f t="shared" si="9"/>
        <v>88</v>
      </c>
      <c r="D102" s="189" t="str">
        <f>I104</f>
        <v>Nascimento de Jesus</v>
      </c>
      <c r="E102" s="172" t="str">
        <f>J104</f>
        <v>Mt 1 e 2</v>
      </c>
      <c r="F102" s="174" t="s">
        <v>700</v>
      </c>
      <c r="G102" s="205">
        <f t="shared" si="10"/>
        <v>46005</v>
      </c>
      <c r="H102" s="213">
        <f t="shared" si="7"/>
        <v>87</v>
      </c>
      <c r="I102" s="146" t="s">
        <v>274</v>
      </c>
      <c r="J102" s="146" t="s">
        <v>275</v>
      </c>
      <c r="K102" s="258"/>
      <c r="L102" s="146"/>
      <c r="M102" s="139" t="s">
        <v>11</v>
      </c>
      <c r="N102" s="139"/>
    </row>
    <row r="103" spans="1:14" outlineLevel="1">
      <c r="A103" s="139">
        <v>2</v>
      </c>
      <c r="B103" s="139">
        <v>2025</v>
      </c>
      <c r="C103" s="139"/>
      <c r="D103" s="187" t="s">
        <v>429</v>
      </c>
      <c r="E103" s="188"/>
      <c r="F103" s="162"/>
      <c r="G103" s="205">
        <f t="shared" si="10"/>
        <v>46012</v>
      </c>
      <c r="H103" s="213"/>
      <c r="I103" s="149" t="s">
        <v>715</v>
      </c>
      <c r="J103" s="146"/>
      <c r="K103" s="146" t="s">
        <v>619</v>
      </c>
      <c r="L103" s="146"/>
      <c r="M103" s="139"/>
      <c r="N103" s="139"/>
    </row>
    <row r="104" spans="1:14" outlineLevel="1">
      <c r="A104" s="139">
        <v>2</v>
      </c>
      <c r="B104" s="139">
        <v>2025</v>
      </c>
      <c r="C104" s="139"/>
      <c r="D104" s="187" t="s">
        <v>430</v>
      </c>
      <c r="E104" s="189"/>
      <c r="F104" s="162"/>
      <c r="G104" s="205">
        <f t="shared" si="10"/>
        <v>46019</v>
      </c>
      <c r="H104" s="213">
        <v>88</v>
      </c>
      <c r="I104" s="146" t="s">
        <v>620</v>
      </c>
      <c r="J104" s="146" t="s">
        <v>621</v>
      </c>
      <c r="K104" s="146"/>
      <c r="L104" s="146"/>
      <c r="M104" s="146" t="s">
        <v>227</v>
      </c>
      <c r="N104" s="139"/>
    </row>
    <row r="105" spans="1:14">
      <c r="A105" s="139">
        <v>2</v>
      </c>
      <c r="B105" s="139">
        <v>2026</v>
      </c>
      <c r="C105" s="139">
        <v>89</v>
      </c>
      <c r="D105" s="172" t="str">
        <f>I106</f>
        <v>Introdução aos evangelhos</v>
      </c>
      <c r="E105" s="172"/>
      <c r="F105" s="164" t="s">
        <v>704</v>
      </c>
      <c r="G105" s="205">
        <f>+G104+14</f>
        <v>46033</v>
      </c>
      <c r="H105" s="213"/>
      <c r="I105" s="149" t="s">
        <v>719</v>
      </c>
      <c r="J105" s="146"/>
      <c r="K105" s="146"/>
      <c r="L105" s="146"/>
      <c r="M105" s="146"/>
      <c r="N105" s="139"/>
    </row>
    <row r="106" spans="1:14">
      <c r="A106" s="139">
        <v>2</v>
      </c>
      <c r="B106" s="139">
        <v>2026</v>
      </c>
      <c r="C106" s="139">
        <f>C105+1</f>
        <v>90</v>
      </c>
      <c r="D106" s="172" t="str">
        <f t="shared" ref="D106:D107" si="11">I107</f>
        <v>Inauguração do ministério de Jesus - Batismo e tentação no deserto</v>
      </c>
      <c r="E106" s="172" t="str">
        <f>J107</f>
        <v>Mt 3 e 4; Mc 1; Lc 3 e 4; Jo 1</v>
      </c>
      <c r="F106" s="165" t="s">
        <v>710</v>
      </c>
      <c r="G106" s="205">
        <f t="shared" si="8"/>
        <v>46040</v>
      </c>
      <c r="H106" s="213">
        <f>+C105</f>
        <v>89</v>
      </c>
      <c r="I106" s="149" t="s">
        <v>720</v>
      </c>
      <c r="J106" s="139"/>
      <c r="K106" s="146"/>
      <c r="L106" s="146"/>
      <c r="M106" s="146"/>
      <c r="N106" s="139"/>
    </row>
    <row r="107" spans="1:14" ht="29.1">
      <c r="A107" s="139">
        <v>3</v>
      </c>
      <c r="B107" s="139">
        <v>2026</v>
      </c>
      <c r="C107" s="139">
        <f t="shared" ref="C107:C118" si="12">C106+1</f>
        <v>91</v>
      </c>
      <c r="D107" s="172" t="str">
        <f t="shared" si="11"/>
        <v>1o discurso - O sermão do Monte</v>
      </c>
      <c r="E107" s="172" t="str">
        <f>J108</f>
        <v>Mateus 5 a 7 e Lucas 6.17-49</v>
      </c>
      <c r="F107" s="164" t="s">
        <v>697</v>
      </c>
      <c r="G107" s="205">
        <f t="shared" si="8"/>
        <v>46047</v>
      </c>
      <c r="H107" s="213">
        <f t="shared" ref="H107:H155" si="13">+C106</f>
        <v>90</v>
      </c>
      <c r="I107" s="146" t="s">
        <v>721</v>
      </c>
      <c r="J107" s="172" t="s">
        <v>722</v>
      </c>
      <c r="K107" s="266" t="s">
        <v>131</v>
      </c>
      <c r="L107" s="146"/>
      <c r="M107" s="146" t="s">
        <v>227</v>
      </c>
      <c r="N107" s="139"/>
    </row>
    <row r="108" spans="1:14" ht="43.5">
      <c r="A108" s="139">
        <v>3</v>
      </c>
      <c r="B108" s="139">
        <v>2026</v>
      </c>
      <c r="C108" s="139">
        <f t="shared" si="12"/>
        <v>92</v>
      </c>
      <c r="D108" s="172" t="str">
        <f>I109</f>
        <v>Uma série dos primeiros milagres: Ele controla o universo físico; Ele controla o reino dos espíritos malignos; Ele controla o reino dos mortos.</v>
      </c>
      <c r="E108" s="172" t="str">
        <f t="shared" ref="E108" si="14">J109</f>
        <v>Mt 8 e 9; Mc 1.14-3.35; Lc 5.12-39; 7.1-10; 4.38-39; 9.57-62; 8.22-39</v>
      </c>
      <c r="F108" s="165" t="s">
        <v>700</v>
      </c>
      <c r="G108" s="205">
        <f t="shared" si="8"/>
        <v>46054</v>
      </c>
      <c r="H108" s="213">
        <f t="shared" si="13"/>
        <v>91</v>
      </c>
      <c r="I108" s="146" t="s">
        <v>723</v>
      </c>
      <c r="J108" s="172" t="s">
        <v>724</v>
      </c>
      <c r="K108" s="267"/>
      <c r="L108" s="146"/>
      <c r="M108" s="146" t="s">
        <v>227</v>
      </c>
      <c r="N108" s="139"/>
    </row>
    <row r="109" spans="1:14" ht="43.5">
      <c r="A109" s="139">
        <v>3</v>
      </c>
      <c r="B109" s="139">
        <v>2026</v>
      </c>
      <c r="C109" s="139">
        <f>C108+1</f>
        <v>93</v>
      </c>
      <c r="D109" s="172" t="str">
        <f>I111</f>
        <v>2o discurso - Missões</v>
      </c>
      <c r="E109" s="172" t="str">
        <f>J111</f>
        <v>Mt 9.35-38; Mt 10; Mc 3.13-19, 6.7; Lc 6.12-16 e 9.1-2</v>
      </c>
      <c r="F109" s="165" t="s">
        <v>704</v>
      </c>
      <c r="G109" s="205">
        <f>+G108+21</f>
        <v>46075</v>
      </c>
      <c r="H109" s="213">
        <f>+C108</f>
        <v>92</v>
      </c>
      <c r="I109" s="172" t="s">
        <v>725</v>
      </c>
      <c r="J109" s="172" t="s">
        <v>726</v>
      </c>
      <c r="K109" s="267"/>
      <c r="L109" s="146"/>
      <c r="M109" s="146" t="s">
        <v>227</v>
      </c>
      <c r="N109" s="139"/>
    </row>
    <row r="110" spans="1:14">
      <c r="A110" s="139">
        <v>3</v>
      </c>
      <c r="B110" s="139">
        <v>2026</v>
      </c>
      <c r="C110" s="139"/>
      <c r="D110" s="191" t="str">
        <f>I110</f>
        <v>Feriado de carnaval</v>
      </c>
      <c r="E110" s="172"/>
      <c r="F110" s="165"/>
      <c r="G110" s="205"/>
      <c r="H110" s="213">
        <f t="shared" si="13"/>
        <v>93</v>
      </c>
      <c r="I110" s="191" t="s">
        <v>727</v>
      </c>
      <c r="J110" s="172"/>
      <c r="K110" s="267"/>
      <c r="L110" s="146"/>
      <c r="M110" s="146" t="s">
        <v>227</v>
      </c>
      <c r="N110" s="139"/>
    </row>
    <row r="111" spans="1:14" ht="43.5">
      <c r="A111" s="139">
        <v>3</v>
      </c>
      <c r="B111" s="139">
        <v>2026</v>
      </c>
      <c r="C111" s="139">
        <v>94</v>
      </c>
      <c r="D111" s="172" t="str">
        <f>I113</f>
        <v>A superioridade de Cristo</v>
      </c>
      <c r="E111" s="172" t="str">
        <f>J113</f>
        <v>Mt 11 e 12</v>
      </c>
      <c r="F111" s="165" t="s">
        <v>710</v>
      </c>
      <c r="G111" s="205">
        <f>G109+7</f>
        <v>46082</v>
      </c>
      <c r="H111" s="213">
        <f t="shared" si="13"/>
        <v>0</v>
      </c>
      <c r="I111" s="172" t="s">
        <v>728</v>
      </c>
      <c r="J111" s="172" t="s">
        <v>729</v>
      </c>
      <c r="K111" s="267"/>
      <c r="L111" s="146"/>
      <c r="M111" s="146" t="s">
        <v>227</v>
      </c>
      <c r="N111" s="146" t="s">
        <v>627</v>
      </c>
    </row>
    <row r="112" spans="1:14">
      <c r="A112" s="139">
        <v>3</v>
      </c>
      <c r="B112" s="139">
        <v>2026</v>
      </c>
      <c r="C112" s="139"/>
      <c r="D112" s="191" t="s">
        <v>691</v>
      </c>
      <c r="E112" s="172"/>
      <c r="F112" s="165"/>
      <c r="G112" s="205">
        <f t="shared" si="8"/>
        <v>46089</v>
      </c>
      <c r="H112" s="213">
        <f t="shared" si="13"/>
        <v>94</v>
      </c>
      <c r="I112" s="149" t="s">
        <v>730</v>
      </c>
      <c r="J112" s="172"/>
      <c r="K112" s="267"/>
      <c r="L112" s="146"/>
      <c r="M112" s="146" t="s">
        <v>227</v>
      </c>
      <c r="N112" s="139"/>
    </row>
    <row r="113" spans="1:14" ht="29.1">
      <c r="A113" s="139">
        <v>3</v>
      </c>
      <c r="B113" s="139">
        <v>2026</v>
      </c>
      <c r="C113" s="139">
        <v>95</v>
      </c>
      <c r="D113" s="172" t="str">
        <f>I114</f>
        <v>O terceiro sermão de Jesus</v>
      </c>
      <c r="E113" s="172" t="str">
        <f>J114</f>
        <v>Mt 13.1-53 Mc 4.1-20, 30-34 Lc 8.4-15; 13.18-21</v>
      </c>
      <c r="F113" s="164" t="s">
        <v>694</v>
      </c>
      <c r="G113" s="205">
        <f>+G112+7</f>
        <v>46096</v>
      </c>
      <c r="H113" s="213">
        <f t="shared" si="13"/>
        <v>0</v>
      </c>
      <c r="I113" s="146" t="s">
        <v>288</v>
      </c>
      <c r="J113" s="172" t="s">
        <v>731</v>
      </c>
      <c r="K113" s="267"/>
      <c r="L113" s="146"/>
      <c r="M113" s="146" t="s">
        <v>227</v>
      </c>
      <c r="N113" s="139"/>
    </row>
    <row r="114" spans="1:14" ht="43.5">
      <c r="A114" s="139">
        <v>3</v>
      </c>
      <c r="B114" s="139">
        <v>2026</v>
      </c>
      <c r="C114" s="139">
        <f t="shared" si="12"/>
        <v>96</v>
      </c>
      <c r="D114" s="172" t="str">
        <f>I115</f>
        <v>Jesus volta a ser desafiado, mas mostra autoridade e caráter</v>
      </c>
      <c r="E114" s="172" t="str">
        <f t="shared" ref="E114:E116" si="15">J115</f>
        <v>Mt 14 a 17 Mc 6.14-29, 45-56; 7.1-30; 8.1-21, 27-34; 9.32, 37-43 Lc 9.7-9, 18-45; 12.54-56 Jo 6.1-21</v>
      </c>
      <c r="F114" s="164" t="s">
        <v>697</v>
      </c>
      <c r="G114" s="205">
        <f t="shared" si="8"/>
        <v>46103</v>
      </c>
      <c r="H114" s="213">
        <f t="shared" si="13"/>
        <v>95</v>
      </c>
      <c r="I114" s="146" t="s">
        <v>292</v>
      </c>
      <c r="J114" s="172" t="s">
        <v>732</v>
      </c>
      <c r="K114" s="267"/>
      <c r="L114" s="146"/>
      <c r="M114" s="146" t="s">
        <v>227</v>
      </c>
      <c r="N114" s="139"/>
    </row>
    <row r="115" spans="1:14" ht="57.95">
      <c r="A115" s="139">
        <v>3</v>
      </c>
      <c r="B115" s="139">
        <v>2026</v>
      </c>
      <c r="C115" s="139">
        <f t="shared" si="12"/>
        <v>97</v>
      </c>
      <c r="D115" s="189" t="str">
        <f t="shared" ref="D115:D154" si="16">I116</f>
        <v>O quarto discurso</v>
      </c>
      <c r="E115" s="172" t="str">
        <f t="shared" si="15"/>
        <v>Mt 18 Mc 9.33-37; 42-48 Lc 9.46-48; 15.3-7; 17.1-4</v>
      </c>
      <c r="F115" s="165" t="s">
        <v>700</v>
      </c>
      <c r="G115" s="205">
        <f t="shared" si="8"/>
        <v>46110</v>
      </c>
      <c r="H115" s="213">
        <f t="shared" si="13"/>
        <v>96</v>
      </c>
      <c r="I115" s="146" t="s">
        <v>296</v>
      </c>
      <c r="J115" s="172" t="s">
        <v>733</v>
      </c>
      <c r="K115" s="267"/>
      <c r="L115" s="146"/>
      <c r="M115" s="146" t="s">
        <v>227</v>
      </c>
      <c r="N115" s="139"/>
    </row>
    <row r="116" spans="1:14" ht="87">
      <c r="A116" s="139">
        <v>3</v>
      </c>
      <c r="B116" s="139">
        <v>2026</v>
      </c>
      <c r="C116" s="139">
        <f t="shared" si="12"/>
        <v>98</v>
      </c>
      <c r="D116" s="189" t="str">
        <f t="shared" si="16"/>
        <v>O quinto discurso</v>
      </c>
      <c r="E116" s="172" t="str">
        <f t="shared" si="15"/>
        <v>Mt 19 a 25 Mc 10.1-52; 11.1-14, 15-4, 27-33; 12.1-40; 13.3-37 Lc 10.25-28; 11.37-52; 12.41-48; 13.34-35; 14.15-24; 17.26-36; 18.15-43; 19.11-40; 20.1-48; 21.7-33 Jo 2.13-22; 12.12-19</v>
      </c>
      <c r="F116" s="165" t="s">
        <v>704</v>
      </c>
      <c r="G116" s="205">
        <f t="shared" si="8"/>
        <v>46117</v>
      </c>
      <c r="H116" s="213">
        <f t="shared" si="13"/>
        <v>97</v>
      </c>
      <c r="I116" s="146" t="s">
        <v>299</v>
      </c>
      <c r="J116" s="172" t="s">
        <v>734</v>
      </c>
      <c r="K116" s="267"/>
      <c r="L116" s="146"/>
      <c r="M116" s="146" t="s">
        <v>227</v>
      </c>
      <c r="N116" s="139"/>
    </row>
    <row r="117" spans="1:14" ht="116.1">
      <c r="A117" s="139">
        <v>3</v>
      </c>
      <c r="B117" s="139">
        <v>2026</v>
      </c>
      <c r="C117" s="139">
        <f t="shared" si="12"/>
        <v>99</v>
      </c>
      <c r="D117" s="187" t="str">
        <f>I118</f>
        <v>Paixão e Ressurreição</v>
      </c>
      <c r="E117" s="172" t="str">
        <f>J118</f>
        <v>Mt 26 a 28 Mc 14, 15 e 16 Lc 22, 23 e 24 Jo 11.45-53; 12.1-8; 13.21-30, 36-38; 18; 19; 20.1-10 At 1.6-8 1 Co 11.23-25</v>
      </c>
      <c r="F117" s="165" t="s">
        <v>710</v>
      </c>
      <c r="G117" s="205">
        <f t="shared" si="8"/>
        <v>46124</v>
      </c>
      <c r="H117" s="213">
        <f t="shared" si="13"/>
        <v>98</v>
      </c>
      <c r="I117" s="48" t="s">
        <v>735</v>
      </c>
      <c r="J117" s="172" t="s">
        <v>736</v>
      </c>
      <c r="K117" s="267"/>
      <c r="L117" s="216"/>
      <c r="M117" s="146" t="s">
        <v>227</v>
      </c>
      <c r="N117" s="139"/>
    </row>
    <row r="118" spans="1:14" ht="72.599999999999994">
      <c r="A118" s="139">
        <v>3</v>
      </c>
      <c r="B118" s="139">
        <v>2026</v>
      </c>
      <c r="C118" s="139">
        <f t="shared" si="12"/>
        <v>100</v>
      </c>
      <c r="D118" s="189" t="str">
        <f t="shared" si="16"/>
        <v>Transformados pelo Espírito Santo</v>
      </c>
      <c r="E118" s="172" t="str">
        <f t="shared" ref="E118:E154" si="17">J119</f>
        <v>Atos 1 a 4</v>
      </c>
      <c r="F118" s="175" t="s">
        <v>704</v>
      </c>
      <c r="G118" s="205">
        <f t="shared" si="8"/>
        <v>46131</v>
      </c>
      <c r="H118" s="213">
        <f t="shared" si="13"/>
        <v>99</v>
      </c>
      <c r="I118" s="149" t="s">
        <v>305</v>
      </c>
      <c r="J118" s="172" t="s">
        <v>737</v>
      </c>
      <c r="K118" s="267"/>
      <c r="L118" s="215"/>
      <c r="M118" s="170" t="s">
        <v>227</v>
      </c>
      <c r="N118" s="139"/>
    </row>
    <row r="119" spans="1:14" ht="30.75" customHeight="1">
      <c r="A119" s="139">
        <v>3</v>
      </c>
      <c r="B119" s="139">
        <v>2026</v>
      </c>
      <c r="C119" s="139">
        <f t="shared" ref="C119:C125" si="18">C118+1</f>
        <v>101</v>
      </c>
      <c r="D119" s="189" t="str">
        <f t="shared" si="16"/>
        <v>Vida Comum na Igreja
Curas, Pregação e Perseguição</v>
      </c>
      <c r="E119" s="172" t="str">
        <f t="shared" si="17"/>
        <v>Atos 4:32–5:42</v>
      </c>
      <c r="F119" s="175" t="s">
        <v>697</v>
      </c>
      <c r="G119" s="205">
        <f t="shared" si="8"/>
        <v>46138</v>
      </c>
      <c r="H119" s="213">
        <f t="shared" si="13"/>
        <v>100</v>
      </c>
      <c r="I119" s="26" t="s">
        <v>309</v>
      </c>
      <c r="J119" s="234" t="s">
        <v>310</v>
      </c>
      <c r="K119" s="271" t="s">
        <v>631</v>
      </c>
      <c r="L119" s="218"/>
      <c r="M119" s="146" t="s">
        <v>227</v>
      </c>
      <c r="N119" s="139"/>
    </row>
    <row r="120" spans="1:14" ht="26.1">
      <c r="A120" s="139">
        <v>3</v>
      </c>
      <c r="B120" s="139">
        <v>2026</v>
      </c>
      <c r="C120" s="139">
        <f t="shared" si="18"/>
        <v>102</v>
      </c>
      <c r="D120" s="189" t="str">
        <f t="shared" si="16"/>
        <v>O sermão de Estêvão</v>
      </c>
      <c r="E120" s="172" t="str">
        <f t="shared" si="17"/>
        <v>Atos 8</v>
      </c>
      <c r="F120" s="175" t="s">
        <v>738</v>
      </c>
      <c r="G120" s="205">
        <f t="shared" si="8"/>
        <v>46145</v>
      </c>
      <c r="H120" s="213">
        <f t="shared" si="13"/>
        <v>101</v>
      </c>
      <c r="I120" s="26" t="s">
        <v>312</v>
      </c>
      <c r="J120" s="234" t="s">
        <v>313</v>
      </c>
      <c r="K120" s="271"/>
      <c r="L120" s="170"/>
      <c r="M120" s="146"/>
      <c r="N120" s="139"/>
    </row>
    <row r="121" spans="1:14" ht="15" customHeight="1">
      <c r="A121" s="139">
        <v>3</v>
      </c>
      <c r="B121" s="139">
        <v>2026</v>
      </c>
      <c r="C121" s="139">
        <f t="shared" si="18"/>
        <v>103</v>
      </c>
      <c r="D121" s="189" t="str">
        <f t="shared" si="16"/>
        <v>O testemunho de Filipe fora de Jerusalém</v>
      </c>
      <c r="E121" s="172"/>
      <c r="F121" s="175" t="s">
        <v>700</v>
      </c>
      <c r="G121" s="205">
        <f t="shared" si="8"/>
        <v>46152</v>
      </c>
      <c r="H121" s="213">
        <f t="shared" si="13"/>
        <v>102</v>
      </c>
      <c r="I121" s="146" t="s">
        <v>315</v>
      </c>
      <c r="J121" s="217" t="s">
        <v>319</v>
      </c>
      <c r="K121" s="271"/>
      <c r="L121" s="170"/>
      <c r="M121" s="146" t="s">
        <v>227</v>
      </c>
      <c r="N121" s="139"/>
    </row>
    <row r="122" spans="1:14">
      <c r="A122" s="139">
        <v>3</v>
      </c>
      <c r="B122" s="139">
        <v>2026</v>
      </c>
      <c r="C122" s="139">
        <f t="shared" si="18"/>
        <v>104</v>
      </c>
      <c r="D122" s="189" t="str">
        <f t="shared" si="16"/>
        <v>A conversão de Saulo</v>
      </c>
      <c r="E122" s="172" t="str">
        <f t="shared" si="17"/>
        <v>At 9</v>
      </c>
      <c r="F122" s="175" t="s">
        <v>710</v>
      </c>
      <c r="G122" s="205">
        <f t="shared" si="8"/>
        <v>46159</v>
      </c>
      <c r="H122" s="213">
        <f t="shared" si="13"/>
        <v>103</v>
      </c>
      <c r="I122" s="146" t="s">
        <v>318</v>
      </c>
      <c r="J122" s="217"/>
      <c r="K122" s="271"/>
      <c r="L122" s="170"/>
      <c r="M122" s="146" t="s">
        <v>227</v>
      </c>
      <c r="N122" s="139"/>
    </row>
    <row r="123" spans="1:14">
      <c r="A123" s="139">
        <v>3</v>
      </c>
      <c r="B123" s="139">
        <v>2026</v>
      </c>
      <c r="C123" s="139">
        <f t="shared" si="18"/>
        <v>105</v>
      </c>
      <c r="D123" s="189" t="str">
        <f t="shared" si="16"/>
        <v>A igreja é enviada a todos (Pedro e Cornélio) + Barnabé em Antioquia</v>
      </c>
      <c r="E123" s="172" t="str">
        <f t="shared" si="17"/>
        <v>At 10 -11</v>
      </c>
      <c r="F123" s="175" t="s">
        <v>697</v>
      </c>
      <c r="G123" s="205">
        <f t="shared" si="8"/>
        <v>46166</v>
      </c>
      <c r="H123" s="213">
        <f t="shared" si="13"/>
        <v>104</v>
      </c>
      <c r="I123" s="146" t="s">
        <v>322</v>
      </c>
      <c r="J123" s="217" t="s">
        <v>634</v>
      </c>
      <c r="K123" s="271" t="s">
        <v>635</v>
      </c>
      <c r="L123" s="170"/>
      <c r="M123" s="146" t="s">
        <v>227</v>
      </c>
      <c r="N123" s="139"/>
    </row>
    <row r="124" spans="1:14" ht="15" customHeight="1">
      <c r="A124" s="139">
        <v>3</v>
      </c>
      <c r="B124" s="139">
        <v>2026</v>
      </c>
      <c r="C124" s="139">
        <f t="shared" si="18"/>
        <v>106</v>
      </c>
      <c r="D124" s="189" t="str">
        <f t="shared" si="16"/>
        <v>A igreja de Jerusalém é perseguida</v>
      </c>
      <c r="E124" s="172" t="str">
        <f t="shared" si="17"/>
        <v>At 12</v>
      </c>
      <c r="F124" s="175" t="s">
        <v>704</v>
      </c>
      <c r="G124" s="205">
        <f t="shared" si="8"/>
        <v>46173</v>
      </c>
      <c r="H124" s="213">
        <f t="shared" si="13"/>
        <v>105</v>
      </c>
      <c r="I124" s="146" t="s">
        <v>325</v>
      </c>
      <c r="J124" s="217" t="s">
        <v>636</v>
      </c>
      <c r="K124" s="271"/>
      <c r="L124" s="170"/>
      <c r="M124" s="146" t="s">
        <v>227</v>
      </c>
      <c r="N124" s="139"/>
    </row>
    <row r="125" spans="1:14">
      <c r="A125" s="139">
        <v>3</v>
      </c>
      <c r="B125" s="139">
        <v>2026</v>
      </c>
      <c r="C125" s="139">
        <f t="shared" si="18"/>
        <v>107</v>
      </c>
      <c r="D125" s="189" t="str">
        <f t="shared" si="16"/>
        <v>A primeira viagem missionária de Paulo</v>
      </c>
      <c r="E125" s="172" t="str">
        <f t="shared" si="17"/>
        <v>At 13-14</v>
      </c>
      <c r="F125" s="175" t="s">
        <v>738</v>
      </c>
      <c r="G125" s="205">
        <f t="shared" si="8"/>
        <v>46180</v>
      </c>
      <c r="H125" s="213">
        <f t="shared" si="13"/>
        <v>106</v>
      </c>
      <c r="I125" s="146" t="s">
        <v>328</v>
      </c>
      <c r="J125" s="217" t="s">
        <v>637</v>
      </c>
      <c r="K125" s="271"/>
      <c r="L125" s="170"/>
      <c r="M125" s="146" t="s">
        <v>227</v>
      </c>
      <c r="N125" s="139"/>
    </row>
    <row r="126" spans="1:14">
      <c r="A126" s="139">
        <v>3</v>
      </c>
      <c r="B126" s="139">
        <v>2026</v>
      </c>
      <c r="C126" s="139"/>
      <c r="D126" s="189" t="s">
        <v>739</v>
      </c>
      <c r="E126" s="172"/>
      <c r="F126" s="175"/>
      <c r="G126" s="205">
        <f t="shared" si="8"/>
        <v>46187</v>
      </c>
      <c r="H126" s="213">
        <f t="shared" si="13"/>
        <v>107</v>
      </c>
      <c r="I126" s="146" t="s">
        <v>332</v>
      </c>
      <c r="J126" s="217" t="s">
        <v>638</v>
      </c>
      <c r="K126" s="271" t="s">
        <v>740</v>
      </c>
      <c r="L126" s="170"/>
      <c r="M126" s="146" t="s">
        <v>227</v>
      </c>
      <c r="N126" s="139"/>
    </row>
    <row r="127" spans="1:14">
      <c r="A127" s="139">
        <v>3</v>
      </c>
      <c r="B127" s="139">
        <v>2026</v>
      </c>
      <c r="C127" s="139">
        <v>108</v>
      </c>
      <c r="D127" s="189" t="str">
        <f t="shared" si="16"/>
        <v>O Concílio de Jerusalém</v>
      </c>
      <c r="E127" s="172" t="str">
        <f t="shared" si="17"/>
        <v>At 15</v>
      </c>
      <c r="F127" s="175" t="s">
        <v>694</v>
      </c>
      <c r="G127" s="205">
        <f t="shared" si="8"/>
        <v>46194</v>
      </c>
      <c r="H127" s="213">
        <f t="shared" si="13"/>
        <v>0</v>
      </c>
      <c r="I127" s="146" t="s">
        <v>574</v>
      </c>
      <c r="J127" s="217"/>
      <c r="K127" s="271"/>
      <c r="L127" s="170"/>
      <c r="M127" s="146" t="s">
        <v>227</v>
      </c>
      <c r="N127" s="139" t="s">
        <v>643</v>
      </c>
    </row>
    <row r="128" spans="1:14">
      <c r="A128" s="139">
        <v>3</v>
      </c>
      <c r="B128" s="139">
        <v>2026</v>
      </c>
      <c r="C128" s="139">
        <f t="shared" ref="C128:C155" si="19">C127+1</f>
        <v>109</v>
      </c>
      <c r="D128" s="189" t="str">
        <f t="shared" si="16"/>
        <v>A segunda viagem missionária de Paulo</v>
      </c>
      <c r="E128" s="172" t="str">
        <f t="shared" si="17"/>
        <v>At 15-18</v>
      </c>
      <c r="F128" s="175" t="s">
        <v>700</v>
      </c>
      <c r="G128" s="205">
        <f t="shared" si="8"/>
        <v>46201</v>
      </c>
      <c r="H128" s="213">
        <f t="shared" si="13"/>
        <v>108</v>
      </c>
      <c r="I128" s="146" t="s">
        <v>335</v>
      </c>
      <c r="J128" s="217" t="s">
        <v>640</v>
      </c>
      <c r="K128" s="271"/>
      <c r="L128" s="170"/>
      <c r="M128" s="146" t="s">
        <v>227</v>
      </c>
      <c r="N128" s="139"/>
    </row>
    <row r="129" spans="1:14">
      <c r="A129" s="139">
        <v>3</v>
      </c>
      <c r="B129" s="139">
        <v>2026</v>
      </c>
      <c r="C129" s="139">
        <f t="shared" si="19"/>
        <v>110</v>
      </c>
      <c r="D129" s="189" t="str">
        <f t="shared" si="16"/>
        <v>A igreja é unida pela esperança</v>
      </c>
      <c r="E129" s="172" t="str">
        <f t="shared" si="17"/>
        <v>Gl</v>
      </c>
      <c r="F129" s="175" t="s">
        <v>710</v>
      </c>
      <c r="G129" s="205">
        <f t="shared" si="8"/>
        <v>46208</v>
      </c>
      <c r="H129" s="213">
        <f t="shared" si="13"/>
        <v>109</v>
      </c>
      <c r="I129" s="146" t="s">
        <v>338</v>
      </c>
      <c r="J129" s="217" t="s">
        <v>641</v>
      </c>
      <c r="K129" s="271"/>
      <c r="L129" s="170"/>
      <c r="M129" s="146" t="s">
        <v>227</v>
      </c>
      <c r="N129" s="139"/>
    </row>
    <row r="130" spans="1:14">
      <c r="A130" s="139">
        <v>3</v>
      </c>
      <c r="B130" s="139">
        <v>2026</v>
      </c>
      <c r="C130" s="139">
        <f t="shared" si="19"/>
        <v>111</v>
      </c>
      <c r="D130" s="189" t="str">
        <f t="shared" si="16"/>
        <v>A igreja é unida pela esperança</v>
      </c>
      <c r="E130" s="172" t="str">
        <f t="shared" si="17"/>
        <v>1  e 2 Ts</v>
      </c>
      <c r="F130" s="175" t="s">
        <v>694</v>
      </c>
      <c r="G130" s="205">
        <f t="shared" si="8"/>
        <v>46215</v>
      </c>
      <c r="H130" s="213">
        <f t="shared" si="13"/>
        <v>110</v>
      </c>
      <c r="I130" s="48" t="s">
        <v>341</v>
      </c>
      <c r="J130" s="217" t="s">
        <v>642</v>
      </c>
      <c r="K130" s="271"/>
      <c r="L130" s="170"/>
      <c r="M130" s="146" t="s">
        <v>227</v>
      </c>
      <c r="N130" s="139"/>
    </row>
    <row r="131" spans="1:14">
      <c r="A131" s="139">
        <v>3</v>
      </c>
      <c r="B131" s="139">
        <v>2026</v>
      </c>
      <c r="C131" s="139">
        <f t="shared" si="19"/>
        <v>112</v>
      </c>
      <c r="D131" s="189" t="str">
        <f t="shared" si="16"/>
        <v>A terceira viagem missionária de Paulo</v>
      </c>
      <c r="E131" s="172" t="str">
        <f t="shared" si="17"/>
        <v>At 18-21</v>
      </c>
      <c r="F131" s="175" t="s">
        <v>704</v>
      </c>
      <c r="G131" s="205">
        <f t="shared" si="8"/>
        <v>46222</v>
      </c>
      <c r="H131" s="213">
        <f t="shared" si="13"/>
        <v>111</v>
      </c>
      <c r="I131" s="48" t="s">
        <v>341</v>
      </c>
      <c r="J131" s="243" t="s">
        <v>644</v>
      </c>
      <c r="K131" s="271"/>
      <c r="L131" s="170"/>
      <c r="M131" s="146" t="s">
        <v>227</v>
      </c>
      <c r="N131" s="139"/>
    </row>
    <row r="132" spans="1:14">
      <c r="A132" s="139">
        <v>3</v>
      </c>
      <c r="B132" s="139">
        <v>2026</v>
      </c>
      <c r="C132" s="139">
        <f t="shared" si="19"/>
        <v>113</v>
      </c>
      <c r="D132" s="189" t="str">
        <f t="shared" si="16"/>
        <v>A igreja é unida pelo Evangelho</v>
      </c>
      <c r="E132" s="172" t="str">
        <f t="shared" si="17"/>
        <v>1 Co 1-6</v>
      </c>
      <c r="F132" s="175" t="s">
        <v>697</v>
      </c>
      <c r="G132" s="205">
        <f t="shared" si="8"/>
        <v>46229</v>
      </c>
      <c r="H132" s="213">
        <f t="shared" si="13"/>
        <v>112</v>
      </c>
      <c r="I132" s="242" t="s">
        <v>344</v>
      </c>
      <c r="J132" s="215" t="s">
        <v>645</v>
      </c>
      <c r="K132" s="269" t="s">
        <v>741</v>
      </c>
      <c r="L132" s="146"/>
      <c r="M132" s="146" t="s">
        <v>227</v>
      </c>
      <c r="N132" s="139"/>
    </row>
    <row r="133" spans="1:14">
      <c r="A133" s="139">
        <v>3</v>
      </c>
      <c r="B133" s="139">
        <v>2026</v>
      </c>
      <c r="C133" s="139">
        <f t="shared" si="19"/>
        <v>114</v>
      </c>
      <c r="D133" s="189" t="str">
        <f t="shared" si="16"/>
        <v>Correções e instruções</v>
      </c>
      <c r="E133" s="172" t="str">
        <f t="shared" si="17"/>
        <v>1 Co 7-16</v>
      </c>
      <c r="F133" s="175" t="s">
        <v>738</v>
      </c>
      <c r="G133" s="205">
        <f t="shared" ref="G133:G158" si="20">+G132+7</f>
        <v>46236</v>
      </c>
      <c r="H133" s="213">
        <f t="shared" si="13"/>
        <v>113</v>
      </c>
      <c r="I133" s="48" t="s">
        <v>351</v>
      </c>
      <c r="J133" s="209" t="s">
        <v>646</v>
      </c>
      <c r="K133" s="270"/>
      <c r="L133" s="146"/>
      <c r="M133" s="146" t="s">
        <v>227</v>
      </c>
      <c r="N133" s="139"/>
    </row>
    <row r="134" spans="1:14">
      <c r="A134" s="139">
        <v>3</v>
      </c>
      <c r="B134" s="139">
        <v>2026</v>
      </c>
      <c r="C134" s="139">
        <f t="shared" si="19"/>
        <v>115</v>
      </c>
      <c r="D134" s="189" t="str">
        <f t="shared" si="16"/>
        <v>O poder do Espírito para nos transformar</v>
      </c>
      <c r="E134" s="172" t="str">
        <f t="shared" si="17"/>
        <v>2 Co 1 -9</v>
      </c>
      <c r="F134" s="175" t="s">
        <v>700</v>
      </c>
      <c r="G134" s="205">
        <f t="shared" si="20"/>
        <v>46243</v>
      </c>
      <c r="H134" s="213">
        <f t="shared" si="13"/>
        <v>114</v>
      </c>
      <c r="I134" s="48" t="s">
        <v>354</v>
      </c>
      <c r="J134" s="146" t="s">
        <v>647</v>
      </c>
      <c r="K134" s="270"/>
      <c r="L134" s="146"/>
      <c r="M134" s="146" t="s">
        <v>227</v>
      </c>
      <c r="N134" s="139" t="s">
        <v>651</v>
      </c>
    </row>
    <row r="135" spans="1:14">
      <c r="A135" s="139">
        <v>3</v>
      </c>
      <c r="B135" s="139">
        <v>2026</v>
      </c>
      <c r="C135" s="139">
        <f t="shared" si="19"/>
        <v>116</v>
      </c>
      <c r="D135" s="189" t="str">
        <f t="shared" si="16"/>
        <v>Guardando o evangelho</v>
      </c>
      <c r="E135" s="172" t="str">
        <f t="shared" si="17"/>
        <v>2 Co 10-13</v>
      </c>
      <c r="F135" s="175" t="s">
        <v>710</v>
      </c>
      <c r="G135" s="205">
        <f t="shared" si="20"/>
        <v>46250</v>
      </c>
      <c r="H135" s="213">
        <f t="shared" si="13"/>
        <v>115</v>
      </c>
      <c r="I135" s="48" t="s">
        <v>360</v>
      </c>
      <c r="J135" s="146" t="s">
        <v>648</v>
      </c>
      <c r="K135" s="270"/>
      <c r="L135" s="146"/>
      <c r="M135" s="146" t="s">
        <v>227</v>
      </c>
      <c r="N135" s="139" t="s">
        <v>653</v>
      </c>
    </row>
    <row r="136" spans="1:14">
      <c r="A136" s="139">
        <v>3</v>
      </c>
      <c r="B136" s="139">
        <v>2026</v>
      </c>
      <c r="C136" s="139">
        <f t="shared" si="19"/>
        <v>117</v>
      </c>
      <c r="D136" s="189" t="str">
        <f t="shared" si="16"/>
        <v>Confiando no evangelho - perdição e justiça</v>
      </c>
      <c r="E136" s="172" t="str">
        <f t="shared" si="17"/>
        <v>Rm 1-5</v>
      </c>
      <c r="F136" s="175" t="s">
        <v>694</v>
      </c>
      <c r="G136" s="205">
        <f t="shared" si="20"/>
        <v>46257</v>
      </c>
      <c r="H136" s="213">
        <f t="shared" si="13"/>
        <v>116</v>
      </c>
      <c r="I136" s="48" t="s">
        <v>363</v>
      </c>
      <c r="J136" s="146" t="s">
        <v>649</v>
      </c>
      <c r="K136" s="270"/>
      <c r="L136" s="146"/>
      <c r="M136" s="146" t="s">
        <v>227</v>
      </c>
      <c r="N136" s="139"/>
    </row>
    <row r="137" spans="1:14">
      <c r="A137" s="139">
        <v>3</v>
      </c>
      <c r="B137" s="139">
        <v>2026</v>
      </c>
      <c r="C137" s="139">
        <f t="shared" si="19"/>
        <v>118</v>
      </c>
      <c r="D137" s="189" t="str">
        <f t="shared" si="16"/>
        <v>Confiando no Evangelho - santificação (6 a 8) e escatologia (9 a 11)</v>
      </c>
      <c r="E137" s="172" t="str">
        <f t="shared" si="17"/>
        <v>Rm 6-11</v>
      </c>
      <c r="F137" s="175" t="s">
        <v>704</v>
      </c>
      <c r="G137" s="205">
        <f t="shared" si="20"/>
        <v>46264</v>
      </c>
      <c r="H137" s="213">
        <f t="shared" si="13"/>
        <v>117</v>
      </c>
      <c r="I137" s="48" t="s">
        <v>366</v>
      </c>
      <c r="J137" s="146" t="s">
        <v>650</v>
      </c>
      <c r="K137" s="270"/>
      <c r="L137" s="146"/>
      <c r="M137" s="146" t="s">
        <v>227</v>
      </c>
      <c r="N137" s="139"/>
    </row>
    <row r="138" spans="1:14">
      <c r="A138" s="223">
        <v>3</v>
      </c>
      <c r="B138" s="223">
        <v>2026</v>
      </c>
      <c r="C138" s="139">
        <f t="shared" si="19"/>
        <v>119</v>
      </c>
      <c r="D138" s="224" t="str">
        <f t="shared" si="16"/>
        <v>Confiando no Evangelho - orientações práticas para a vida da igreja</v>
      </c>
      <c r="E138" s="225" t="str">
        <f t="shared" si="17"/>
        <v>Rm 12-16</v>
      </c>
      <c r="F138" s="175" t="s">
        <v>697</v>
      </c>
      <c r="G138" s="226">
        <f t="shared" si="20"/>
        <v>46271</v>
      </c>
      <c r="H138" s="227">
        <f t="shared" si="13"/>
        <v>118</v>
      </c>
      <c r="I138" s="48" t="s">
        <v>369</v>
      </c>
      <c r="J138" s="146" t="s">
        <v>652</v>
      </c>
      <c r="K138" s="270"/>
      <c r="L138" s="216"/>
      <c r="M138" s="216" t="s">
        <v>227</v>
      </c>
      <c r="N138" s="223"/>
    </row>
    <row r="139" spans="1:14">
      <c r="A139" s="219">
        <v>3</v>
      </c>
      <c r="B139" s="219">
        <v>2026</v>
      </c>
      <c r="C139" s="139">
        <f t="shared" si="19"/>
        <v>120</v>
      </c>
      <c r="D139" s="220" t="str">
        <f>I141</f>
        <v>Pregando em todas as circunstâncias</v>
      </c>
      <c r="E139" s="225" t="str">
        <f>J141</f>
        <v>At 22-26</v>
      </c>
      <c r="F139" s="175" t="s">
        <v>738</v>
      </c>
      <c r="G139" s="221">
        <f t="shared" si="20"/>
        <v>46278</v>
      </c>
      <c r="H139" s="162">
        <f t="shared" si="13"/>
        <v>119</v>
      </c>
      <c r="I139" s="228" t="s">
        <v>372</v>
      </c>
      <c r="J139" s="216" t="s">
        <v>654</v>
      </c>
      <c r="K139" s="270"/>
      <c r="L139" s="215"/>
      <c r="M139" s="215" t="s">
        <v>227</v>
      </c>
      <c r="N139" s="219" t="s">
        <v>659</v>
      </c>
    </row>
    <row r="140" spans="1:14" s="138" customFormat="1">
      <c r="A140" s="235">
        <v>3</v>
      </c>
      <c r="B140" s="235">
        <v>2026</v>
      </c>
      <c r="C140" s="137">
        <f t="shared" si="19"/>
        <v>121</v>
      </c>
      <c r="D140" s="236" t="str">
        <f>I140</f>
        <v>Acampamento</v>
      </c>
      <c r="E140" s="236"/>
      <c r="F140" s="237"/>
      <c r="G140" s="238">
        <f t="shared" si="20"/>
        <v>46285</v>
      </c>
      <c r="H140" s="239">
        <f t="shared" si="13"/>
        <v>120</v>
      </c>
      <c r="I140" s="240" t="s">
        <v>742</v>
      </c>
      <c r="J140" s="241"/>
      <c r="K140" s="270"/>
      <c r="L140" s="241"/>
      <c r="M140" s="241" t="s">
        <v>227</v>
      </c>
      <c r="N140" s="235" t="s">
        <v>661</v>
      </c>
    </row>
    <row r="141" spans="1:14">
      <c r="A141" s="245">
        <v>3</v>
      </c>
      <c r="B141" s="245">
        <v>2026</v>
      </c>
      <c r="C141" s="223">
        <f t="shared" si="19"/>
        <v>122</v>
      </c>
      <c r="D141" s="246" t="str">
        <f t="shared" si="16"/>
        <v>A viagem de Paulo a Roma</v>
      </c>
      <c r="E141" s="246" t="str">
        <f t="shared" si="17"/>
        <v>At 27-28</v>
      </c>
      <c r="F141" s="247" t="s">
        <v>700</v>
      </c>
      <c r="G141" s="248">
        <f t="shared" si="20"/>
        <v>46292</v>
      </c>
      <c r="H141" s="162">
        <f t="shared" si="13"/>
        <v>121</v>
      </c>
      <c r="I141" s="222" t="s">
        <v>375</v>
      </c>
      <c r="J141" s="215" t="s">
        <v>655</v>
      </c>
      <c r="K141" s="270"/>
      <c r="L141" s="215"/>
      <c r="M141" s="215" t="s">
        <v>227</v>
      </c>
      <c r="N141" s="219"/>
    </row>
    <row r="142" spans="1:14" ht="17.25" customHeight="1">
      <c r="A142" s="219">
        <v>3</v>
      </c>
      <c r="B142" s="219">
        <v>2026</v>
      </c>
      <c r="C142" s="219">
        <f t="shared" si="19"/>
        <v>123</v>
      </c>
      <c r="D142" s="220" t="str">
        <f t="shared" si="16"/>
        <v>Perseguindo o alvo</v>
      </c>
      <c r="E142" s="220" t="str">
        <f t="shared" si="17"/>
        <v>Fl</v>
      </c>
      <c r="F142" s="221" t="s">
        <v>694</v>
      </c>
      <c r="G142" s="221">
        <f t="shared" si="20"/>
        <v>46299</v>
      </c>
      <c r="H142" s="244">
        <f t="shared" si="13"/>
        <v>122</v>
      </c>
      <c r="I142" s="222" t="s">
        <v>378</v>
      </c>
      <c r="J142" s="215" t="s">
        <v>656</v>
      </c>
      <c r="K142" s="270"/>
      <c r="L142" s="215"/>
      <c r="M142" s="215" t="s">
        <v>227</v>
      </c>
      <c r="N142" s="219"/>
    </row>
    <row r="143" spans="1:14">
      <c r="A143" s="229">
        <v>3</v>
      </c>
      <c r="B143" s="229">
        <v>2026</v>
      </c>
      <c r="C143" s="229">
        <f t="shared" si="19"/>
        <v>124</v>
      </c>
      <c r="D143" s="230" t="str">
        <f t="shared" si="16"/>
        <v>Experimentando uma nova identidade no evangelho de Jesus</v>
      </c>
      <c r="E143" s="256" t="str">
        <f t="shared" si="17"/>
        <v>Cl</v>
      </c>
      <c r="F143" s="249" t="s">
        <v>704</v>
      </c>
      <c r="G143" s="231">
        <f t="shared" si="20"/>
        <v>46306</v>
      </c>
      <c r="H143" s="232">
        <f t="shared" si="13"/>
        <v>123</v>
      </c>
      <c r="I143" s="222" t="s">
        <v>381</v>
      </c>
      <c r="J143" s="215" t="s">
        <v>657</v>
      </c>
      <c r="K143" s="270"/>
      <c r="L143" s="209"/>
      <c r="M143" s="209" t="s">
        <v>227</v>
      </c>
      <c r="N143" s="229"/>
    </row>
    <row r="144" spans="1:14">
      <c r="A144" s="139">
        <v>3</v>
      </c>
      <c r="B144" s="139">
        <v>2026</v>
      </c>
      <c r="C144" s="139">
        <f t="shared" si="19"/>
        <v>125</v>
      </c>
      <c r="D144" s="189" t="str">
        <f t="shared" si="16"/>
        <v>Vivendo na graça</v>
      </c>
      <c r="E144" s="172" t="str">
        <f t="shared" si="17"/>
        <v>Fl</v>
      </c>
      <c r="F144" s="175" t="s">
        <v>697</v>
      </c>
      <c r="G144" s="205">
        <f t="shared" si="20"/>
        <v>46313</v>
      </c>
      <c r="H144" s="213">
        <f t="shared" si="13"/>
        <v>124</v>
      </c>
      <c r="I144" s="222" t="s">
        <v>384</v>
      </c>
      <c r="J144" s="215" t="s">
        <v>660</v>
      </c>
      <c r="K144" s="270"/>
      <c r="L144" s="146"/>
      <c r="M144" s="146" t="s">
        <v>227</v>
      </c>
      <c r="N144" s="139" t="s">
        <v>665</v>
      </c>
    </row>
    <row r="145" spans="1:14">
      <c r="A145" s="139">
        <v>3</v>
      </c>
      <c r="B145" s="139">
        <v>2026</v>
      </c>
      <c r="C145" s="139">
        <f t="shared" si="19"/>
        <v>126</v>
      </c>
      <c r="D145" s="189" t="str">
        <f t="shared" si="16"/>
        <v>Quebrando barreiras</v>
      </c>
      <c r="E145" s="172" t="str">
        <f t="shared" si="17"/>
        <v>Ef</v>
      </c>
      <c r="F145" s="175" t="s">
        <v>738</v>
      </c>
      <c r="G145" s="205">
        <f t="shared" si="20"/>
        <v>46320</v>
      </c>
      <c r="H145" s="213">
        <f t="shared" si="13"/>
        <v>125</v>
      </c>
      <c r="I145" s="233" t="s">
        <v>387</v>
      </c>
      <c r="J145" s="209" t="s">
        <v>657</v>
      </c>
      <c r="K145" s="270"/>
      <c r="L145" s="146"/>
      <c r="M145" s="146" t="s">
        <v>227</v>
      </c>
      <c r="N145" s="139"/>
    </row>
    <row r="146" spans="1:14">
      <c r="A146" s="139">
        <v>3</v>
      </c>
      <c r="B146" s="139">
        <v>2026</v>
      </c>
      <c r="C146" s="139">
        <f t="shared" si="19"/>
        <v>127</v>
      </c>
      <c r="D146" s="189" t="str">
        <f t="shared" si="16"/>
        <v>Cartas pastorais</v>
      </c>
      <c r="E146" s="172" t="str">
        <f t="shared" si="17"/>
        <v>Tt</v>
      </c>
      <c r="F146" s="175" t="s">
        <v>700</v>
      </c>
      <c r="G146" s="205">
        <f t="shared" si="20"/>
        <v>46327</v>
      </c>
      <c r="H146" s="213">
        <f t="shared" si="13"/>
        <v>126</v>
      </c>
      <c r="I146" s="48" t="s">
        <v>390</v>
      </c>
      <c r="J146" s="146" t="s">
        <v>662</v>
      </c>
      <c r="K146" s="270"/>
      <c r="L146" s="146"/>
      <c r="M146" s="146" t="s">
        <v>227</v>
      </c>
      <c r="N146" s="139"/>
    </row>
    <row r="147" spans="1:14">
      <c r="A147" s="139">
        <v>3</v>
      </c>
      <c r="B147" s="139">
        <v>2026</v>
      </c>
      <c r="C147" s="139">
        <f t="shared" si="19"/>
        <v>128</v>
      </c>
      <c r="D147" s="189" t="str">
        <f t="shared" si="16"/>
        <v>Cartas pastorais</v>
      </c>
      <c r="E147" s="172" t="str">
        <f t="shared" si="17"/>
        <v>1 e 2 Tm</v>
      </c>
      <c r="F147" s="175" t="s">
        <v>704</v>
      </c>
      <c r="G147" s="205">
        <f t="shared" si="20"/>
        <v>46334</v>
      </c>
      <c r="H147" s="213">
        <f t="shared" si="13"/>
        <v>127</v>
      </c>
      <c r="I147" s="48" t="s">
        <v>393</v>
      </c>
      <c r="J147" s="146" t="s">
        <v>663</v>
      </c>
      <c r="K147" s="270"/>
      <c r="L147" s="146"/>
      <c r="M147" s="146" t="s">
        <v>227</v>
      </c>
      <c r="N147" s="139"/>
    </row>
    <row r="148" spans="1:14" ht="15.75" customHeight="1">
      <c r="A148" s="139">
        <v>3</v>
      </c>
      <c r="B148" s="139">
        <v>2026</v>
      </c>
      <c r="C148" s="139">
        <f t="shared" si="19"/>
        <v>129</v>
      </c>
      <c r="D148" s="189" t="str">
        <f t="shared" si="16"/>
        <v>Buscando uma vida com Deus</v>
      </c>
      <c r="E148" s="172" t="str">
        <f t="shared" si="17"/>
        <v>1 e 2 Pe e Judas</v>
      </c>
      <c r="F148" s="175" t="s">
        <v>697</v>
      </c>
      <c r="G148" s="205">
        <f t="shared" si="20"/>
        <v>46341</v>
      </c>
      <c r="H148" s="213">
        <f t="shared" si="13"/>
        <v>128</v>
      </c>
      <c r="I148" s="48" t="s">
        <v>393</v>
      </c>
      <c r="J148" s="146" t="s">
        <v>664</v>
      </c>
      <c r="K148" s="270"/>
      <c r="L148" s="146"/>
      <c r="M148" s="146" t="s">
        <v>227</v>
      </c>
      <c r="N148" s="139"/>
    </row>
    <row r="149" spans="1:14">
      <c r="A149" s="139">
        <v>3</v>
      </c>
      <c r="B149" s="139">
        <v>2026</v>
      </c>
      <c r="C149" s="139">
        <f t="shared" si="19"/>
        <v>130</v>
      </c>
      <c r="D149" s="189" t="str">
        <f t="shared" si="16"/>
        <v>A igreja é enviada para proclamar a Jesus</v>
      </c>
      <c r="E149" s="172" t="str">
        <f t="shared" si="17"/>
        <v>Hb</v>
      </c>
      <c r="F149" s="247" t="s">
        <v>738</v>
      </c>
      <c r="G149" s="205">
        <f t="shared" si="20"/>
        <v>46348</v>
      </c>
      <c r="H149" s="213">
        <f t="shared" si="13"/>
        <v>129</v>
      </c>
      <c r="I149" s="49" t="s">
        <v>403</v>
      </c>
      <c r="J149" s="146" t="s">
        <v>743</v>
      </c>
      <c r="K149" s="270"/>
      <c r="L149" s="146"/>
      <c r="M149" s="146" t="s">
        <v>227</v>
      </c>
      <c r="N149" s="139"/>
    </row>
    <row r="150" spans="1:14" ht="43.5">
      <c r="A150" s="139">
        <v>3</v>
      </c>
      <c r="B150" s="139">
        <v>2026</v>
      </c>
      <c r="C150" s="139">
        <f t="shared" si="19"/>
        <v>131</v>
      </c>
      <c r="D150" s="189" t="str">
        <f t="shared" si="16"/>
        <v>As marcas daqueles que têm comunhão com Deus - 1 João
Não seja hospitaleiro com aqueles que rejeitam a verdade - 2 João
Seja hospitaleiro com aqueles que proclamam a verdade - 3 João</v>
      </c>
      <c r="E150" s="189" t="str">
        <f t="shared" si="17"/>
        <v>Cartas Joaninas</v>
      </c>
      <c r="F150" s="162" t="s">
        <v>700</v>
      </c>
      <c r="G150" s="205">
        <f t="shared" si="20"/>
        <v>46355</v>
      </c>
      <c r="H150" s="213">
        <f t="shared" si="13"/>
        <v>130</v>
      </c>
      <c r="I150" s="48" t="s">
        <v>406</v>
      </c>
      <c r="J150" s="146" t="s">
        <v>669</v>
      </c>
      <c r="K150" s="270"/>
      <c r="L150" s="146"/>
      <c r="M150" s="146" t="s">
        <v>227</v>
      </c>
      <c r="N150" s="139"/>
    </row>
    <row r="151" spans="1:14" ht="43.5">
      <c r="A151" s="139">
        <v>3</v>
      </c>
      <c r="B151" s="139">
        <v>2026</v>
      </c>
      <c r="C151" s="139">
        <f t="shared" si="19"/>
        <v>132</v>
      </c>
      <c r="D151" s="189" t="str">
        <f t="shared" si="16"/>
        <v>Introdução ao Apocalipse</v>
      </c>
      <c r="E151" s="172" t="str">
        <f t="shared" si="17"/>
        <v>Ap - seção 1</v>
      </c>
      <c r="F151" s="249" t="s">
        <v>694</v>
      </c>
      <c r="G151" s="205">
        <f t="shared" si="20"/>
        <v>46362</v>
      </c>
      <c r="H151" s="213">
        <f t="shared" si="13"/>
        <v>131</v>
      </c>
      <c r="I151" s="48" t="s">
        <v>412</v>
      </c>
      <c r="J151" s="146" t="s">
        <v>670</v>
      </c>
      <c r="K151" s="270"/>
      <c r="L151" s="146"/>
      <c r="M151" s="146" t="s">
        <v>227</v>
      </c>
      <c r="N151" s="139"/>
    </row>
    <row r="152" spans="1:14">
      <c r="A152" s="139">
        <v>3</v>
      </c>
      <c r="B152" s="139">
        <v>2026</v>
      </c>
      <c r="C152" s="139">
        <f t="shared" si="19"/>
        <v>133</v>
      </c>
      <c r="D152" s="189" t="str">
        <f t="shared" si="16"/>
        <v>Apocalipse - Aula 2</v>
      </c>
      <c r="E152" s="172" t="str">
        <f t="shared" si="17"/>
        <v>Ap - seção 2</v>
      </c>
      <c r="F152" s="175"/>
      <c r="G152" s="205">
        <f t="shared" si="20"/>
        <v>46369</v>
      </c>
      <c r="H152" s="213">
        <f t="shared" si="13"/>
        <v>132</v>
      </c>
      <c r="I152" s="146" t="s">
        <v>744</v>
      </c>
      <c r="J152" s="217" t="s">
        <v>672</v>
      </c>
      <c r="K152" s="271" t="s">
        <v>415</v>
      </c>
      <c r="L152" s="170"/>
      <c r="M152" s="146" t="s">
        <v>227</v>
      </c>
      <c r="N152" s="139"/>
    </row>
    <row r="153" spans="1:14">
      <c r="A153" s="139">
        <v>3</v>
      </c>
      <c r="B153" s="139">
        <v>2026</v>
      </c>
      <c r="C153" s="139">
        <f t="shared" si="19"/>
        <v>134</v>
      </c>
      <c r="D153" s="189" t="str">
        <f t="shared" si="16"/>
        <v>Apocalipse - Aula 3</v>
      </c>
      <c r="E153" s="172" t="str">
        <f t="shared" si="17"/>
        <v>Ap - seção 3</v>
      </c>
      <c r="F153" s="175"/>
      <c r="G153" s="205">
        <f t="shared" si="20"/>
        <v>46376</v>
      </c>
      <c r="H153" s="213">
        <f t="shared" si="13"/>
        <v>133</v>
      </c>
      <c r="I153" s="146" t="s">
        <v>745</v>
      </c>
      <c r="J153" s="217" t="s">
        <v>675</v>
      </c>
      <c r="K153" s="271"/>
      <c r="L153" s="170"/>
      <c r="M153" s="146" t="s">
        <v>227</v>
      </c>
      <c r="N153" s="139"/>
    </row>
    <row r="154" spans="1:14">
      <c r="A154" s="139">
        <v>3</v>
      </c>
      <c r="B154" s="139">
        <v>2026</v>
      </c>
      <c r="C154" s="139">
        <f t="shared" si="19"/>
        <v>135</v>
      </c>
      <c r="D154" s="189" t="str">
        <f t="shared" si="16"/>
        <v>Apocalipse - Aula 4</v>
      </c>
      <c r="E154" s="172" t="str">
        <f t="shared" si="17"/>
        <v>Ap - seção 4</v>
      </c>
      <c r="F154" s="175"/>
      <c r="G154" s="205">
        <f t="shared" si="20"/>
        <v>46383</v>
      </c>
      <c r="H154" s="213">
        <f t="shared" si="13"/>
        <v>134</v>
      </c>
      <c r="I154" s="146" t="s">
        <v>746</v>
      </c>
      <c r="J154" s="217" t="s">
        <v>677</v>
      </c>
      <c r="K154" s="271"/>
      <c r="L154" s="170"/>
      <c r="M154" s="146" t="s">
        <v>227</v>
      </c>
      <c r="N154" s="139"/>
    </row>
    <row r="155" spans="1:14">
      <c r="A155" s="139">
        <v>3</v>
      </c>
      <c r="B155" s="139">
        <v>2026</v>
      </c>
      <c r="C155" s="139">
        <f t="shared" si="19"/>
        <v>136</v>
      </c>
      <c r="D155" s="189" t="s">
        <v>574</v>
      </c>
      <c r="E155" s="172"/>
      <c r="F155" s="175"/>
      <c r="G155" s="205">
        <f t="shared" si="20"/>
        <v>46390</v>
      </c>
      <c r="H155" s="213">
        <f t="shared" si="13"/>
        <v>135</v>
      </c>
      <c r="I155" s="146" t="s">
        <v>747</v>
      </c>
      <c r="J155" s="217" t="s">
        <v>679</v>
      </c>
      <c r="K155" s="271"/>
      <c r="L155" s="170"/>
      <c r="M155" s="146" t="s">
        <v>227</v>
      </c>
      <c r="N155" s="139"/>
    </row>
    <row r="156" spans="1:14">
      <c r="A156" s="139">
        <v>3</v>
      </c>
      <c r="B156" s="139">
        <v>2026</v>
      </c>
      <c r="C156" s="139"/>
      <c r="D156" s="188" t="s">
        <v>427</v>
      </c>
      <c r="E156" s="129"/>
      <c r="F156" s="165"/>
      <c r="G156" s="205">
        <f t="shared" si="20"/>
        <v>46397</v>
      </c>
      <c r="H156" s="213"/>
      <c r="I156" s="149" t="s">
        <v>427</v>
      </c>
      <c r="J156" s="146"/>
      <c r="K156" s="209"/>
      <c r="L156" s="146"/>
      <c r="M156" s="139"/>
      <c r="N156" s="139"/>
    </row>
    <row r="157" spans="1:14">
      <c r="A157" s="139">
        <v>3</v>
      </c>
      <c r="B157" s="139">
        <v>2026</v>
      </c>
      <c r="C157" s="139"/>
      <c r="D157" s="188"/>
      <c r="E157" s="129"/>
      <c r="F157" s="165"/>
      <c r="G157" s="205">
        <f t="shared" si="20"/>
        <v>46404</v>
      </c>
      <c r="H157" s="213"/>
      <c r="I157" s="149" t="s">
        <v>429</v>
      </c>
      <c r="J157" s="146"/>
      <c r="K157" s="146"/>
      <c r="L157" s="146"/>
      <c r="M157" s="139"/>
      <c r="N157" s="139"/>
    </row>
    <row r="158" spans="1:14" ht="15" thickBot="1">
      <c r="A158" s="139">
        <v>3</v>
      </c>
      <c r="B158" s="139">
        <v>2026</v>
      </c>
      <c r="C158" s="139"/>
      <c r="D158" s="188"/>
      <c r="E158" s="129"/>
      <c r="F158" s="165"/>
      <c r="G158" s="208">
        <f t="shared" si="20"/>
        <v>46411</v>
      </c>
      <c r="H158" s="213"/>
      <c r="I158" s="149" t="s">
        <v>430</v>
      </c>
      <c r="J158" s="146"/>
      <c r="K158" s="146"/>
      <c r="L158" s="146"/>
      <c r="M158" s="139"/>
      <c r="N158" s="139"/>
    </row>
    <row r="159" spans="1:14">
      <c r="I159" s="177"/>
      <c r="J159" s="177"/>
      <c r="L159" s="177"/>
    </row>
  </sheetData>
  <dataConsolidate/>
  <mergeCells count="29">
    <mergeCell ref="K132:K151"/>
    <mergeCell ref="K152:K155"/>
    <mergeCell ref="K96:K102"/>
    <mergeCell ref="K107:K118"/>
    <mergeCell ref="K119:K122"/>
    <mergeCell ref="K123:K125"/>
    <mergeCell ref="K126:K131"/>
    <mergeCell ref="K65:K68"/>
    <mergeCell ref="K69:K74"/>
    <mergeCell ref="K75:K87"/>
    <mergeCell ref="K88:K92"/>
    <mergeCell ref="K93:K95"/>
    <mergeCell ref="K46:K49"/>
    <mergeCell ref="K50:K52"/>
    <mergeCell ref="K55:K59"/>
    <mergeCell ref="D62:F62"/>
    <mergeCell ref="H62:J62"/>
    <mergeCell ref="K44:K45"/>
    <mergeCell ref="A2:B2"/>
    <mergeCell ref="K3:K8"/>
    <mergeCell ref="K9:K12"/>
    <mergeCell ref="K13:K17"/>
    <mergeCell ref="K18:K21"/>
    <mergeCell ref="K22:K25"/>
    <mergeCell ref="K26:K31"/>
    <mergeCell ref="K32:K34"/>
    <mergeCell ref="K35:K37"/>
    <mergeCell ref="K38:K39"/>
    <mergeCell ref="K40:K43"/>
  </mergeCells>
  <pageMargins left="0.511811024" right="0.511811024" top="0.78740157499999996" bottom="0.78740157499999996" header="0.31496062000000002" footer="0.31496062000000002"/>
  <pageSetup paperSize="9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B1F0-0EE4-4F7E-AA37-72028A5BCC65}">
  <dimension ref="A1:E18"/>
  <sheetViews>
    <sheetView showGridLines="0" zoomScale="130" zoomScaleNormal="130" workbookViewId="0">
      <selection activeCell="E9" sqref="E9"/>
    </sheetView>
  </sheetViews>
  <sheetFormatPr defaultColWidth="64.28515625" defaultRowHeight="14.45"/>
  <cols>
    <col min="1" max="1" width="5.42578125" style="128" customWidth="1"/>
    <col min="2" max="2" width="13.28515625" style="132" customWidth="1"/>
    <col min="3" max="3" width="28.5703125" style="128" customWidth="1"/>
    <col min="4" max="4" width="27.5703125" style="128" customWidth="1"/>
    <col min="5" max="5" width="23.28515625" style="128" customWidth="1"/>
    <col min="6" max="16384" width="64.28515625" style="128"/>
  </cols>
  <sheetData>
    <row r="1" spans="1:5">
      <c r="A1" s="126" t="s">
        <v>433</v>
      </c>
      <c r="B1" s="127" t="s">
        <v>435</v>
      </c>
      <c r="C1" s="126" t="s">
        <v>3</v>
      </c>
      <c r="D1" s="126" t="s">
        <v>437</v>
      </c>
    </row>
    <row r="2" spans="1:5">
      <c r="A2" s="129">
        <v>88</v>
      </c>
      <c r="B2" s="130"/>
      <c r="C2" s="129" t="s">
        <v>620</v>
      </c>
      <c r="D2" s="129"/>
      <c r="E2" s="128" t="s">
        <v>748</v>
      </c>
    </row>
    <row r="3" spans="1:5">
      <c r="A3" s="129">
        <v>89</v>
      </c>
      <c r="B3" s="130"/>
      <c r="C3" s="129" t="s">
        <v>749</v>
      </c>
      <c r="D3" s="129"/>
      <c r="E3" s="128" t="s">
        <v>748</v>
      </c>
    </row>
    <row r="4" spans="1:5">
      <c r="A4" s="129">
        <v>90</v>
      </c>
      <c r="B4" s="131">
        <v>46033</v>
      </c>
      <c r="C4" s="129" t="s">
        <v>750</v>
      </c>
      <c r="D4" s="129"/>
      <c r="E4" s="128" t="s">
        <v>748</v>
      </c>
    </row>
    <row r="5" spans="1:5" ht="43.5">
      <c r="A5" s="129">
        <v>91</v>
      </c>
      <c r="B5" s="131">
        <f>+B4+7</f>
        <v>46040</v>
      </c>
      <c r="C5" s="129" t="s">
        <v>721</v>
      </c>
      <c r="D5" s="129" t="s">
        <v>722</v>
      </c>
    </row>
    <row r="6" spans="1:5" ht="29.1">
      <c r="A6" s="129">
        <v>92</v>
      </c>
      <c r="B6" s="131">
        <f t="shared" ref="B6:B16" si="0">+B5+7</f>
        <v>46047</v>
      </c>
      <c r="C6" s="129" t="s">
        <v>723</v>
      </c>
      <c r="D6" s="129" t="s">
        <v>751</v>
      </c>
    </row>
    <row r="7" spans="1:5" ht="65.099999999999994">
      <c r="A7" s="129">
        <v>93</v>
      </c>
      <c r="B7" s="131">
        <f t="shared" si="0"/>
        <v>46054</v>
      </c>
      <c r="C7" s="26" t="s">
        <v>281</v>
      </c>
      <c r="D7" s="26" t="s">
        <v>282</v>
      </c>
    </row>
    <row r="8" spans="1:5" ht="29.1">
      <c r="A8" s="129">
        <v>94</v>
      </c>
      <c r="B8" s="131">
        <f t="shared" si="0"/>
        <v>46061</v>
      </c>
      <c r="C8" s="129" t="s">
        <v>728</v>
      </c>
      <c r="D8" s="129" t="s">
        <v>729</v>
      </c>
    </row>
    <row r="9" spans="1:5">
      <c r="A9" s="129" t="s">
        <v>426</v>
      </c>
      <c r="B9" s="131">
        <f t="shared" si="0"/>
        <v>46068</v>
      </c>
      <c r="C9" s="129" t="s">
        <v>575</v>
      </c>
      <c r="D9" s="129" t="s">
        <v>752</v>
      </c>
      <c r="E9" s="128" t="s">
        <v>431</v>
      </c>
    </row>
    <row r="10" spans="1:5">
      <c r="A10" s="129">
        <v>95</v>
      </c>
      <c r="B10" s="131">
        <f t="shared" si="0"/>
        <v>46075</v>
      </c>
      <c r="C10" s="125" t="s">
        <v>288</v>
      </c>
      <c r="D10" s="125" t="s">
        <v>753</v>
      </c>
    </row>
    <row r="11" spans="1:5" ht="39">
      <c r="A11" s="129">
        <v>96</v>
      </c>
      <c r="B11" s="131">
        <f t="shared" si="0"/>
        <v>46082</v>
      </c>
      <c r="C11" s="26" t="s">
        <v>292</v>
      </c>
      <c r="D11" s="26" t="s">
        <v>293</v>
      </c>
    </row>
    <row r="12" spans="1:5" ht="65.099999999999994">
      <c r="A12" s="129">
        <v>97</v>
      </c>
      <c r="B12" s="131">
        <f t="shared" si="0"/>
        <v>46089</v>
      </c>
      <c r="C12" s="39" t="s">
        <v>296</v>
      </c>
      <c r="D12" s="26" t="s">
        <v>297</v>
      </c>
    </row>
    <row r="13" spans="1:5" ht="39">
      <c r="A13" s="129">
        <v>98</v>
      </c>
      <c r="B13" s="131">
        <f t="shared" si="0"/>
        <v>46096</v>
      </c>
      <c r="C13" s="26" t="s">
        <v>299</v>
      </c>
      <c r="D13" s="26" t="s">
        <v>300</v>
      </c>
    </row>
    <row r="14" spans="1:5" ht="116.1">
      <c r="A14" s="129">
        <v>99</v>
      </c>
      <c r="B14" s="131">
        <f t="shared" si="0"/>
        <v>46103</v>
      </c>
      <c r="C14" s="39" t="s">
        <v>302</v>
      </c>
      <c r="D14" s="39" t="s">
        <v>303</v>
      </c>
    </row>
    <row r="15" spans="1:5" ht="90.95">
      <c r="A15" s="129">
        <v>100</v>
      </c>
      <c r="B15" s="131">
        <f t="shared" si="0"/>
        <v>46110</v>
      </c>
      <c r="C15" s="26" t="s">
        <v>305</v>
      </c>
      <c r="D15" s="26" t="s">
        <v>306</v>
      </c>
    </row>
    <row r="16" spans="1:5">
      <c r="A16" s="129"/>
      <c r="B16" s="131">
        <f t="shared" si="0"/>
        <v>46117</v>
      </c>
      <c r="C16" s="129"/>
      <c r="D16" s="129"/>
    </row>
    <row r="18" spans="3:3">
      <c r="C18" s="128" t="s">
        <v>754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DE ABREU BARBOSA</dc:creator>
  <cp:keywords/>
  <dc:description/>
  <cp:lastModifiedBy>Usuário Convidado</cp:lastModifiedBy>
  <cp:revision/>
  <dcterms:created xsi:type="dcterms:W3CDTF">2023-11-26T22:53:39Z</dcterms:created>
  <dcterms:modified xsi:type="dcterms:W3CDTF">2026-09-11T19:49:05Z</dcterms:modified>
  <cp:category/>
  <cp:contentStatus/>
</cp:coreProperties>
</file>